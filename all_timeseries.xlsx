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ramirez/Desktop/Submission_files/"/>
    </mc:Choice>
  </mc:AlternateContent>
  <xr:revisionPtr revIDLastSave="0" documentId="13_ncr:1_{CBED11F8-036C-F84F-8A3C-1D6936B35A8C}" xr6:coauthVersionLast="47" xr6:coauthVersionMax="47" xr10:uidLastSave="{00000000-0000-0000-0000-000000000000}"/>
  <bookViews>
    <workbookView xWindow="1920" yWindow="760" windowWidth="27420" windowHeight="19880" activeTab="5" xr2:uid="{0162BA53-E0BE-A649-B742-5789264E7366}"/>
  </bookViews>
  <sheets>
    <sheet name="ID" sheetId="1" r:id="rId1"/>
    <sheet name="MT" sheetId="19" r:id="rId2"/>
    <sheet name="WY" sheetId="3" r:id="rId3"/>
    <sheet name="WA_NRM" sheetId="6" r:id="rId4"/>
    <sheet name="OR_NRM" sheetId="7" r:id="rId5"/>
    <sheet name="WA_W" sheetId="4" r:id="rId6"/>
    <sheet name="OR_W" sheetId="5" r:id="rId7"/>
    <sheet name="WI" sheetId="17" r:id="rId8"/>
    <sheet name="MI" sheetId="10" r:id="rId9"/>
    <sheet name="MN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9" l="1"/>
  <c r="H46" i="19" s="1"/>
  <c r="E45" i="19"/>
  <c r="H45" i="19" s="1"/>
  <c r="E44" i="19"/>
  <c r="H44" i="19" s="1"/>
  <c r="H43" i="19"/>
  <c r="E43" i="19"/>
  <c r="E42" i="19"/>
  <c r="H42" i="19" s="1"/>
  <c r="E41" i="19"/>
  <c r="H41" i="19" s="1"/>
  <c r="E40" i="19"/>
  <c r="H40" i="19" s="1"/>
  <c r="E39" i="19"/>
  <c r="H39" i="19" s="1"/>
  <c r="E38" i="19"/>
  <c r="H38" i="19" s="1"/>
  <c r="E37" i="19"/>
  <c r="H37" i="19" s="1"/>
  <c r="E36" i="19"/>
  <c r="H36" i="19" s="1"/>
  <c r="E35" i="19"/>
  <c r="H35" i="19" s="1"/>
  <c r="E34" i="19"/>
  <c r="H34" i="19" s="1"/>
  <c r="E33" i="19"/>
  <c r="H33" i="19" s="1"/>
  <c r="E32" i="19"/>
  <c r="H32" i="19" s="1"/>
  <c r="E31" i="19"/>
  <c r="H31" i="19" s="1"/>
  <c r="E30" i="19"/>
  <c r="H30" i="19" s="1"/>
  <c r="E29" i="19"/>
  <c r="H29" i="19" s="1"/>
  <c r="E28" i="19"/>
  <c r="H28" i="19" s="1"/>
  <c r="E27" i="19"/>
  <c r="H27" i="19" s="1"/>
  <c r="E26" i="19"/>
  <c r="H26" i="19" s="1"/>
  <c r="E25" i="19"/>
  <c r="H25" i="19" s="1"/>
  <c r="E24" i="19"/>
  <c r="H24" i="19" s="1"/>
  <c r="E23" i="19"/>
  <c r="H23" i="19" s="1"/>
  <c r="E22" i="19"/>
  <c r="H22" i="19" s="1"/>
  <c r="E21" i="19"/>
  <c r="H21" i="19" s="1"/>
  <c r="E20" i="19"/>
  <c r="H20" i="19" s="1"/>
  <c r="E19" i="19"/>
  <c r="H19" i="19" s="1"/>
  <c r="J11" i="10"/>
  <c r="J13" i="6"/>
  <c r="J12" i="6"/>
  <c r="J11" i="6"/>
  <c r="J10" i="6"/>
  <c r="J9" i="6"/>
  <c r="J8" i="6"/>
  <c r="J7" i="6"/>
  <c r="J6" i="6"/>
  <c r="J5" i="6"/>
  <c r="J4" i="6"/>
  <c r="J3" i="6"/>
  <c r="J16" i="1"/>
  <c r="J15" i="1"/>
  <c r="J14" i="1"/>
  <c r="J13" i="1"/>
  <c r="J12" i="1"/>
  <c r="J11" i="1"/>
  <c r="J10" i="1"/>
  <c r="I13" i="8"/>
  <c r="H13" i="8"/>
  <c r="E13" i="8"/>
  <c r="E12" i="8"/>
  <c r="I11" i="8"/>
  <c r="H11" i="8"/>
  <c r="E11" i="8"/>
  <c r="E10" i="8"/>
  <c r="H10" i="8" s="1"/>
  <c r="E9" i="8"/>
  <c r="H9" i="8" s="1"/>
  <c r="E8" i="8"/>
  <c r="H8" i="8" s="1"/>
  <c r="E7" i="8"/>
  <c r="H7" i="8" s="1"/>
  <c r="E6" i="8"/>
  <c r="H6" i="8" s="1"/>
  <c r="E5" i="8"/>
  <c r="H5" i="8" s="1"/>
  <c r="I4" i="8"/>
  <c r="H4" i="8"/>
  <c r="E4" i="8"/>
  <c r="I3" i="8"/>
  <c r="H3" i="8"/>
  <c r="E3" i="8"/>
  <c r="E11" i="3"/>
  <c r="H11" i="3"/>
  <c r="I11" i="3"/>
  <c r="E12" i="3"/>
  <c r="E13" i="3"/>
  <c r="H13" i="3"/>
  <c r="I13" i="3"/>
  <c r="E14" i="3"/>
  <c r="H14" i="3" s="1"/>
  <c r="E15" i="3"/>
  <c r="H15" i="3"/>
  <c r="E16" i="3"/>
  <c r="H16" i="3" s="1"/>
  <c r="E17" i="3"/>
  <c r="H17" i="3"/>
  <c r="I17" i="3"/>
  <c r="E18" i="3"/>
  <c r="H18" i="3"/>
  <c r="E36" i="10"/>
  <c r="H36" i="10" s="1"/>
  <c r="E35" i="10"/>
  <c r="H35" i="10" s="1"/>
  <c r="E34" i="10"/>
  <c r="H34" i="10" s="1"/>
  <c r="E33" i="10"/>
  <c r="H33" i="10" s="1"/>
  <c r="E32" i="10"/>
  <c r="H32" i="10" s="1"/>
  <c r="E31" i="10"/>
  <c r="H31" i="10" s="1"/>
  <c r="E30" i="10"/>
  <c r="H30" i="10" s="1"/>
  <c r="E29" i="10"/>
  <c r="H29" i="10" s="1"/>
  <c r="E28" i="10"/>
  <c r="H28" i="10" s="1"/>
  <c r="E27" i="10"/>
  <c r="H27" i="10" s="1"/>
  <c r="E26" i="10"/>
  <c r="H26" i="10" s="1"/>
  <c r="E25" i="10"/>
  <c r="H25" i="10" s="1"/>
  <c r="E24" i="10"/>
  <c r="H24" i="10" s="1"/>
  <c r="E23" i="10"/>
  <c r="H23" i="10" s="1"/>
  <c r="E22" i="10"/>
  <c r="H22" i="10" s="1"/>
  <c r="E21" i="10"/>
  <c r="H21" i="10" s="1"/>
  <c r="E20" i="10"/>
  <c r="H20" i="10" s="1"/>
  <c r="E19" i="10"/>
  <c r="H19" i="10" s="1"/>
  <c r="I18" i="10"/>
  <c r="H18" i="10"/>
  <c r="E18" i="10"/>
  <c r="E17" i="10"/>
  <c r="I17" i="10" s="1"/>
  <c r="I16" i="10"/>
  <c r="H16" i="10"/>
  <c r="E16" i="10"/>
  <c r="I15" i="10"/>
  <c r="H15" i="10"/>
  <c r="E15" i="10"/>
  <c r="E14" i="10"/>
  <c r="H14" i="10" s="1"/>
  <c r="I13" i="10"/>
  <c r="H13" i="10"/>
  <c r="E13" i="10"/>
  <c r="E12" i="10"/>
  <c r="E11" i="10"/>
  <c r="I11" i="10" s="1"/>
  <c r="I10" i="10"/>
  <c r="H10" i="10"/>
  <c r="E10" i="10"/>
  <c r="E9" i="10"/>
  <c r="H9" i="10" s="1"/>
  <c r="E8" i="10"/>
  <c r="H8" i="10" s="1"/>
  <c r="E7" i="10"/>
  <c r="H7" i="10" s="1"/>
  <c r="E6" i="10"/>
  <c r="H6" i="10" s="1"/>
  <c r="E5" i="10"/>
  <c r="H5" i="10" s="1"/>
  <c r="I4" i="10"/>
  <c r="H4" i="10"/>
  <c r="E4" i="10"/>
  <c r="I3" i="10"/>
  <c r="H3" i="10"/>
  <c r="E3" i="10"/>
  <c r="E12" i="5"/>
  <c r="H12" i="5" s="1"/>
  <c r="E11" i="5"/>
  <c r="H11" i="5" s="1"/>
  <c r="E10" i="5"/>
  <c r="H10" i="5" s="1"/>
  <c r="E9" i="5"/>
  <c r="H9" i="5" s="1"/>
  <c r="E8" i="5"/>
  <c r="H8" i="5" s="1"/>
  <c r="E7" i="5"/>
  <c r="H7" i="5" s="1"/>
  <c r="E6" i="5"/>
  <c r="H6" i="5" s="1"/>
  <c r="E5" i="5"/>
  <c r="H5" i="5" s="1"/>
  <c r="I4" i="5"/>
  <c r="H4" i="5"/>
  <c r="E4" i="5"/>
  <c r="I3" i="5"/>
  <c r="H3" i="5"/>
  <c r="E3" i="5"/>
  <c r="I4" i="4"/>
  <c r="H3" i="4"/>
  <c r="I3" i="4"/>
  <c r="H4" i="4"/>
  <c r="E16" i="4"/>
  <c r="H16" i="4" s="1"/>
  <c r="E15" i="4"/>
  <c r="H15" i="4" s="1"/>
  <c r="E14" i="4"/>
  <c r="H14" i="4" s="1"/>
  <c r="E13" i="4"/>
  <c r="H13" i="4" s="1"/>
  <c r="E12" i="4"/>
  <c r="H12" i="4" s="1"/>
  <c r="E11" i="4"/>
  <c r="H11" i="4" s="1"/>
  <c r="E10" i="4"/>
  <c r="H10" i="4" s="1"/>
  <c r="E9" i="4"/>
  <c r="H9" i="4" s="1"/>
  <c r="E8" i="4"/>
  <c r="H8" i="4" s="1"/>
  <c r="E7" i="4"/>
  <c r="H7" i="4" s="1"/>
  <c r="E6" i="4"/>
  <c r="H6" i="4" s="1"/>
  <c r="E5" i="4"/>
  <c r="H5" i="4" s="1"/>
  <c r="E4" i="4"/>
  <c r="E3" i="4"/>
  <c r="I16" i="7"/>
  <c r="H16" i="7"/>
  <c r="E16" i="7"/>
  <c r="I15" i="7"/>
  <c r="H15" i="7"/>
  <c r="E15" i="7"/>
  <c r="I14" i="7"/>
  <c r="H14" i="7"/>
  <c r="E14" i="7"/>
  <c r="E13" i="7"/>
  <c r="I13" i="7" s="1"/>
  <c r="E12" i="7"/>
  <c r="I12" i="7" s="1"/>
  <c r="E11" i="7"/>
  <c r="I11" i="7" s="1"/>
  <c r="E10" i="7"/>
  <c r="I10" i="7" s="1"/>
  <c r="E9" i="7"/>
  <c r="I9" i="7" s="1"/>
  <c r="E8" i="7"/>
  <c r="I8" i="7" s="1"/>
  <c r="E7" i="7"/>
  <c r="I7" i="7" s="1"/>
  <c r="E6" i="7"/>
  <c r="I6" i="7" s="1"/>
  <c r="E5" i="7"/>
  <c r="I5" i="7" s="1"/>
  <c r="E4" i="7"/>
  <c r="I4" i="7" s="1"/>
  <c r="E3" i="7"/>
  <c r="I3" i="7" s="1"/>
  <c r="E3" i="6"/>
  <c r="I3" i="6" s="1"/>
  <c r="E4" i="6"/>
  <c r="I4" i="6" s="1"/>
  <c r="E5" i="6"/>
  <c r="I5" i="6" s="1"/>
  <c r="E6" i="6"/>
  <c r="I6" i="6" s="1"/>
  <c r="E7" i="6"/>
  <c r="I7" i="6" s="1"/>
  <c r="E8" i="6"/>
  <c r="I8" i="6" s="1"/>
  <c r="E9" i="6"/>
  <c r="I9" i="6" s="1"/>
  <c r="I16" i="6"/>
  <c r="H16" i="6"/>
  <c r="E16" i="6"/>
  <c r="I15" i="6"/>
  <c r="H15" i="6"/>
  <c r="E15" i="6"/>
  <c r="I14" i="6"/>
  <c r="H14" i="6"/>
  <c r="E14" i="6"/>
  <c r="E13" i="6"/>
  <c r="I13" i="6" s="1"/>
  <c r="E12" i="6"/>
  <c r="I12" i="6" s="1"/>
  <c r="E11" i="6"/>
  <c r="I11" i="6" s="1"/>
  <c r="E10" i="6"/>
  <c r="I10" i="6" s="1"/>
  <c r="H3" i="3"/>
  <c r="H4" i="3"/>
  <c r="H5" i="3"/>
  <c r="H6" i="3"/>
  <c r="E3" i="3"/>
  <c r="I3" i="3" s="1"/>
  <c r="E4" i="3"/>
  <c r="I4" i="3" s="1"/>
  <c r="E5" i="3"/>
  <c r="I5" i="3" s="1"/>
  <c r="E6" i="3"/>
  <c r="I6" i="3" s="1"/>
  <c r="E7" i="3"/>
  <c r="I7" i="3" s="1"/>
  <c r="E8" i="3"/>
  <c r="H7" i="3"/>
  <c r="I8" i="3"/>
  <c r="H8" i="3"/>
  <c r="E9" i="3"/>
  <c r="H9" i="3" s="1"/>
  <c r="E30" i="3"/>
  <c r="H30" i="3" s="1"/>
  <c r="E29" i="3"/>
  <c r="H29" i="3" s="1"/>
  <c r="E28" i="3"/>
  <c r="H28" i="3" s="1"/>
  <c r="E27" i="3"/>
  <c r="H27" i="3" s="1"/>
  <c r="E26" i="3"/>
  <c r="H26" i="3" s="1"/>
  <c r="E25" i="3"/>
  <c r="H25" i="3" s="1"/>
  <c r="E24" i="3"/>
  <c r="H24" i="3" s="1"/>
  <c r="E23" i="3"/>
  <c r="H23" i="3" s="1"/>
  <c r="E22" i="3"/>
  <c r="H22" i="3" s="1"/>
  <c r="E21" i="3"/>
  <c r="H21" i="3" s="1"/>
  <c r="E20" i="3"/>
  <c r="H20" i="3" s="1"/>
  <c r="E19" i="3"/>
  <c r="H19" i="3" s="1"/>
  <c r="E10" i="3"/>
  <c r="H10" i="3" s="1"/>
  <c r="H15" i="1"/>
  <c r="I15" i="1"/>
  <c r="H17" i="1"/>
  <c r="I17" i="1"/>
  <c r="I14" i="1"/>
  <c r="H14" i="1"/>
  <c r="I16" i="1"/>
  <c r="H16" i="1"/>
  <c r="H20" i="1"/>
  <c r="H18" i="1"/>
  <c r="E11" i="1"/>
  <c r="I11" i="1" s="1"/>
  <c r="E12" i="1"/>
  <c r="I12" i="1" s="1"/>
  <c r="E13" i="1"/>
  <c r="I13" i="1" s="1"/>
  <c r="E14" i="1"/>
  <c r="E15" i="1"/>
  <c r="E16" i="1"/>
  <c r="E17" i="1"/>
  <c r="E18" i="1"/>
  <c r="E19" i="1"/>
  <c r="H19" i="1" s="1"/>
  <c r="E20" i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10" i="1"/>
  <c r="I10" i="1" s="1"/>
</calcChain>
</file>

<file path=xl/sharedStrings.xml><?xml version="1.0" encoding="utf-8"?>
<sst xmlns="http://schemas.openxmlformats.org/spreadsheetml/2006/main" count="665" uniqueCount="11">
  <si>
    <t>Year</t>
  </si>
  <si>
    <t>MP_Start</t>
  </si>
  <si>
    <t>MP_End</t>
  </si>
  <si>
    <t>MP_Total</t>
  </si>
  <si>
    <t>Date_Listed</t>
  </si>
  <si>
    <t>Date_Delisted</t>
  </si>
  <si>
    <t>Days_Listed</t>
  </si>
  <si>
    <t>Days_Delisted</t>
  </si>
  <si>
    <t>NA</t>
  </si>
  <si>
    <t>Popsize</t>
  </si>
  <si>
    <t>N_Killed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</si>
</sst>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u/>
      <sz val="12"/>
      <color rgb="FF1155CC"/>
      <name val="Calibri"/>
      <family val="2"/>
      <scheme val="minor"/>
    </font>
    <font>
      <sz val="10"/>
      <color rgb="FF000000"/>
      <name val="Arial"/>
      <family val="2"/>
    </font>
    <font>
      <sz val="12"/>
      <color rgb="FFC0C0C0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0" fillId="5" borderId="0" xfId="0" applyFill="1"/>
    <xf numFmtId="0" fontId="1" fillId="4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0" fillId="4" borderId="0" xfId="0" applyFill="1"/>
    <xf numFmtId="0" fontId="0" fillId="6" borderId="0" xfId="0" applyFill="1"/>
    <xf numFmtId="0" fontId="6" fillId="7" borderId="0" xfId="0" applyFont="1" applyFill="1"/>
    <xf numFmtId="0" fontId="0" fillId="8" borderId="0" xfId="0" applyFill="1"/>
    <xf numFmtId="0" fontId="6" fillId="9" borderId="0" xfId="0" applyFont="1" applyFill="1"/>
    <xf numFmtId="14" fontId="0" fillId="9" borderId="0" xfId="0" applyNumberFormat="1" applyFill="1"/>
    <xf numFmtId="0" fontId="0" fillId="9" borderId="0" xfId="0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5BEF-8024-7749-BC82-81EBF3BCF451}">
  <dimension ref="A1:J30"/>
  <sheetViews>
    <sheetView topLeftCell="F4" zoomScale="125" zoomScaleNormal="80" workbookViewId="0">
      <selection activeCell="I41" sqref="I41"/>
    </sheetView>
  </sheetViews>
  <sheetFormatPr baseColWidth="10" defaultRowHeight="16" x14ac:dyDescent="0.2"/>
  <cols>
    <col min="3" max="3" width="13.1640625" customWidth="1"/>
    <col min="4" max="4" width="12.5" customWidth="1"/>
    <col min="5" max="5" width="15" customWidth="1"/>
    <col min="6" max="6" width="14.5" customWidth="1"/>
    <col min="7" max="7" width="14.6640625" customWidth="1"/>
    <col min="8" max="8" width="15.5" customWidth="1"/>
    <col min="9" max="9" width="14.83203125" customWidth="1"/>
  </cols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  <c r="J3" s="4" t="s">
        <v>8</v>
      </c>
    </row>
    <row r="4" spans="1:10" x14ac:dyDescent="0.2">
      <c r="A4">
        <v>2021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8</v>
      </c>
    </row>
    <row r="5" spans="1:10" x14ac:dyDescent="0.2">
      <c r="A5">
        <v>2020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</row>
    <row r="6" spans="1:10" x14ac:dyDescent="0.2">
      <c r="A6">
        <v>2019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</row>
    <row r="7" spans="1:10" x14ac:dyDescent="0.2">
      <c r="A7">
        <v>2018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</row>
    <row r="8" spans="1:10" x14ac:dyDescent="0.2">
      <c r="A8">
        <v>2017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  <c r="I8" s="4" t="s">
        <v>8</v>
      </c>
      <c r="J8" s="4" t="s">
        <v>8</v>
      </c>
    </row>
    <row r="9" spans="1:10" x14ac:dyDescent="0.2">
      <c r="A9">
        <v>2016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  <c r="I9" s="4" t="s">
        <v>8</v>
      </c>
      <c r="J9" s="4" t="s">
        <v>8</v>
      </c>
    </row>
    <row r="10" spans="1:10" x14ac:dyDescent="0.2">
      <c r="A10">
        <v>2015</v>
      </c>
      <c r="B10" s="7">
        <v>786</v>
      </c>
      <c r="C10" s="2">
        <v>42005</v>
      </c>
      <c r="D10" s="2">
        <v>42369</v>
      </c>
      <c r="E10">
        <f>D10-C10+1</f>
        <v>365</v>
      </c>
      <c r="F10" t="s">
        <v>8</v>
      </c>
      <c r="G10" t="s">
        <v>8</v>
      </c>
      <c r="H10">
        <v>0</v>
      </c>
      <c r="I10">
        <f t="shared" ref="I10:I12" si="0">E10</f>
        <v>365</v>
      </c>
      <c r="J10">
        <f>75+256</f>
        <v>331</v>
      </c>
    </row>
    <row r="11" spans="1:10" x14ac:dyDescent="0.2">
      <c r="A11">
        <v>2014</v>
      </c>
      <c r="B11" s="7">
        <v>785</v>
      </c>
      <c r="C11" s="2">
        <v>41640</v>
      </c>
      <c r="D11" s="2">
        <v>42004</v>
      </c>
      <c r="E11">
        <f t="shared" ref="E11:E30" si="1">D11-C11+1</f>
        <v>365</v>
      </c>
      <c r="F11" t="s">
        <v>8</v>
      </c>
      <c r="G11" t="s">
        <v>8</v>
      </c>
      <c r="H11">
        <v>0</v>
      </c>
      <c r="I11">
        <f t="shared" si="0"/>
        <v>365</v>
      </c>
      <c r="J11">
        <f>67+256</f>
        <v>323</v>
      </c>
    </row>
    <row r="12" spans="1:10" x14ac:dyDescent="0.2">
      <c r="A12">
        <v>2013</v>
      </c>
      <c r="B12" s="7">
        <v>684</v>
      </c>
      <c r="C12" s="2">
        <v>41275</v>
      </c>
      <c r="D12" s="2">
        <v>41639</v>
      </c>
      <c r="E12">
        <f t="shared" si="1"/>
        <v>365</v>
      </c>
      <c r="F12" t="s">
        <v>8</v>
      </c>
      <c r="G12" t="s">
        <v>8</v>
      </c>
      <c r="H12">
        <v>0</v>
      </c>
      <c r="I12">
        <f t="shared" si="0"/>
        <v>365</v>
      </c>
      <c r="J12">
        <f>94+356</f>
        <v>450</v>
      </c>
    </row>
    <row r="13" spans="1:10" x14ac:dyDescent="0.2">
      <c r="A13">
        <v>2012</v>
      </c>
      <c r="B13" s="7">
        <v>722</v>
      </c>
      <c r="C13" s="2">
        <v>40909</v>
      </c>
      <c r="D13" s="2">
        <v>41274</v>
      </c>
      <c r="E13">
        <f t="shared" si="1"/>
        <v>366</v>
      </c>
      <c r="F13" t="s">
        <v>8</v>
      </c>
      <c r="G13" t="s">
        <v>8</v>
      </c>
      <c r="H13">
        <v>0</v>
      </c>
      <c r="I13">
        <f>E13</f>
        <v>366</v>
      </c>
      <c r="J13">
        <f>73+329</f>
        <v>402</v>
      </c>
    </row>
    <row r="14" spans="1:10" x14ac:dyDescent="0.2">
      <c r="A14">
        <v>2011</v>
      </c>
      <c r="B14" s="7">
        <v>768</v>
      </c>
      <c r="C14" s="2">
        <v>40544</v>
      </c>
      <c r="D14" s="2">
        <v>40908</v>
      </c>
      <c r="E14">
        <f t="shared" si="1"/>
        <v>365</v>
      </c>
      <c r="F14" t="s">
        <v>8</v>
      </c>
      <c r="G14" s="2">
        <v>40668</v>
      </c>
      <c r="H14">
        <f>G14-C14</f>
        <v>124</v>
      </c>
      <c r="I14">
        <f>D14-G14+1</f>
        <v>241</v>
      </c>
      <c r="J14">
        <f>63+200</f>
        <v>263</v>
      </c>
    </row>
    <row r="15" spans="1:10" x14ac:dyDescent="0.2">
      <c r="A15">
        <v>2010</v>
      </c>
      <c r="B15" s="7">
        <v>777</v>
      </c>
      <c r="C15" s="2">
        <v>40179</v>
      </c>
      <c r="D15" s="2">
        <v>40543</v>
      </c>
      <c r="E15">
        <f t="shared" si="1"/>
        <v>365</v>
      </c>
      <c r="F15" s="2">
        <v>40395</v>
      </c>
      <c r="G15" t="s">
        <v>8</v>
      </c>
      <c r="H15">
        <f>D15-F15+0.5</f>
        <v>148.5</v>
      </c>
      <c r="I15">
        <f>F15-C15+0.5</f>
        <v>216.5</v>
      </c>
      <c r="J15">
        <f>80+46</f>
        <v>126</v>
      </c>
    </row>
    <row r="16" spans="1:10" x14ac:dyDescent="0.2">
      <c r="A16">
        <v>2009</v>
      </c>
      <c r="B16" s="7">
        <v>856</v>
      </c>
      <c r="C16" s="2">
        <v>39814</v>
      </c>
      <c r="D16" s="2">
        <v>40178</v>
      </c>
      <c r="E16">
        <f t="shared" si="1"/>
        <v>365</v>
      </c>
      <c r="F16" t="s">
        <v>8</v>
      </c>
      <c r="G16" s="2">
        <v>39937</v>
      </c>
      <c r="H16">
        <f>G16-C16</f>
        <v>123</v>
      </c>
      <c r="I16">
        <f>D16-G16+1</f>
        <v>242</v>
      </c>
      <c r="J16">
        <f>94+135</f>
        <v>229</v>
      </c>
    </row>
    <row r="17" spans="1:10" x14ac:dyDescent="0.2">
      <c r="A17">
        <v>2008</v>
      </c>
      <c r="B17" s="7">
        <v>849</v>
      </c>
      <c r="C17" s="2">
        <v>39448</v>
      </c>
      <c r="D17" s="2">
        <v>39813</v>
      </c>
      <c r="E17">
        <f t="shared" si="1"/>
        <v>366</v>
      </c>
      <c r="F17" s="2">
        <v>39647</v>
      </c>
      <c r="G17" s="2">
        <v>39535</v>
      </c>
      <c r="H17">
        <f>(G17-C17)+(D17-F17)+0.5</f>
        <v>253.5</v>
      </c>
      <c r="I17">
        <f>F17-G17+0.5</f>
        <v>112.5</v>
      </c>
      <c r="J17">
        <v>108</v>
      </c>
    </row>
    <row r="18" spans="1:10" x14ac:dyDescent="0.2">
      <c r="A18">
        <v>2007</v>
      </c>
      <c r="B18" s="7">
        <v>764</v>
      </c>
      <c r="C18" s="2">
        <v>39083</v>
      </c>
      <c r="D18" s="2">
        <v>39447</v>
      </c>
      <c r="E18">
        <f t="shared" si="1"/>
        <v>365</v>
      </c>
      <c r="F18" t="s">
        <v>8</v>
      </c>
      <c r="G18" t="s">
        <v>8</v>
      </c>
      <c r="H18">
        <f t="shared" ref="H18:H30" si="2">E18</f>
        <v>365</v>
      </c>
      <c r="I18">
        <v>0</v>
      </c>
      <c r="J18">
        <v>50</v>
      </c>
    </row>
    <row r="19" spans="1:10" x14ac:dyDescent="0.2">
      <c r="A19">
        <v>2006</v>
      </c>
      <c r="B19" s="7">
        <v>673</v>
      </c>
      <c r="C19" s="2">
        <v>38718</v>
      </c>
      <c r="D19" s="2">
        <v>39082</v>
      </c>
      <c r="E19">
        <f t="shared" si="1"/>
        <v>365</v>
      </c>
      <c r="F19" t="s">
        <v>8</v>
      </c>
      <c r="G19" t="s">
        <v>8</v>
      </c>
      <c r="H19">
        <f t="shared" si="2"/>
        <v>365</v>
      </c>
      <c r="I19">
        <v>0</v>
      </c>
      <c r="J19">
        <v>45</v>
      </c>
    </row>
    <row r="20" spans="1:10" x14ac:dyDescent="0.2">
      <c r="A20">
        <v>2005</v>
      </c>
      <c r="B20" s="8">
        <v>518</v>
      </c>
      <c r="C20" s="2">
        <v>38353</v>
      </c>
      <c r="D20" s="2">
        <v>38717</v>
      </c>
      <c r="E20">
        <f t="shared" si="1"/>
        <v>365</v>
      </c>
      <c r="F20" t="s">
        <v>8</v>
      </c>
      <c r="G20" t="s">
        <v>8</v>
      </c>
      <c r="H20">
        <f t="shared" si="2"/>
        <v>365</v>
      </c>
      <c r="I20">
        <v>0</v>
      </c>
      <c r="J20">
        <v>27</v>
      </c>
    </row>
    <row r="21" spans="1:10" x14ac:dyDescent="0.2">
      <c r="A21">
        <v>2004</v>
      </c>
      <c r="B21" s="8">
        <v>418</v>
      </c>
      <c r="C21" s="2">
        <v>37987</v>
      </c>
      <c r="D21" s="2">
        <v>38352</v>
      </c>
      <c r="E21">
        <f t="shared" si="1"/>
        <v>366</v>
      </c>
      <c r="F21" t="s">
        <v>8</v>
      </c>
      <c r="G21" t="s">
        <v>8</v>
      </c>
      <c r="H21">
        <f t="shared" si="2"/>
        <v>366</v>
      </c>
      <c r="I21">
        <v>0</v>
      </c>
      <c r="J21">
        <v>17</v>
      </c>
    </row>
    <row r="22" spans="1:10" x14ac:dyDescent="0.2">
      <c r="A22">
        <v>2003</v>
      </c>
      <c r="B22" s="8">
        <v>362</v>
      </c>
      <c r="C22" s="2">
        <v>37622</v>
      </c>
      <c r="D22" s="2">
        <v>37986</v>
      </c>
      <c r="E22">
        <f t="shared" si="1"/>
        <v>365</v>
      </c>
      <c r="F22" t="s">
        <v>8</v>
      </c>
      <c r="G22" t="s">
        <v>8</v>
      </c>
      <c r="H22">
        <f t="shared" si="2"/>
        <v>365</v>
      </c>
      <c r="I22">
        <v>0</v>
      </c>
      <c r="J22">
        <v>7</v>
      </c>
    </row>
    <row r="23" spans="1:10" x14ac:dyDescent="0.2">
      <c r="A23">
        <v>2002</v>
      </c>
      <c r="B23" s="8">
        <v>289</v>
      </c>
      <c r="C23" s="2">
        <v>37257</v>
      </c>
      <c r="D23" s="2">
        <v>37621</v>
      </c>
      <c r="E23">
        <f t="shared" si="1"/>
        <v>365</v>
      </c>
      <c r="F23" t="s">
        <v>8</v>
      </c>
      <c r="G23" t="s">
        <v>8</v>
      </c>
      <c r="H23">
        <f t="shared" si="2"/>
        <v>365</v>
      </c>
      <c r="I23">
        <v>0</v>
      </c>
      <c r="J23">
        <v>14</v>
      </c>
    </row>
    <row r="24" spans="1:10" x14ac:dyDescent="0.2">
      <c r="A24">
        <v>2001</v>
      </c>
      <c r="B24" s="8">
        <v>261</v>
      </c>
      <c r="C24" s="2">
        <v>36892</v>
      </c>
      <c r="D24" s="2">
        <v>37256</v>
      </c>
      <c r="E24">
        <f t="shared" si="1"/>
        <v>365</v>
      </c>
      <c r="F24" t="s">
        <v>8</v>
      </c>
      <c r="G24" t="s">
        <v>8</v>
      </c>
      <c r="H24">
        <f t="shared" si="2"/>
        <v>365</v>
      </c>
      <c r="I24">
        <v>0</v>
      </c>
      <c r="J24">
        <v>7</v>
      </c>
    </row>
    <row r="25" spans="1:10" x14ac:dyDescent="0.2">
      <c r="A25">
        <v>2000</v>
      </c>
      <c r="B25" s="8">
        <v>196</v>
      </c>
      <c r="C25" s="2">
        <v>36526</v>
      </c>
      <c r="D25" s="2">
        <v>36891</v>
      </c>
      <c r="E25">
        <f t="shared" si="1"/>
        <v>366</v>
      </c>
      <c r="F25" t="s">
        <v>8</v>
      </c>
      <c r="G25" t="s">
        <v>8</v>
      </c>
      <c r="H25">
        <f t="shared" si="2"/>
        <v>366</v>
      </c>
      <c r="I25">
        <v>0</v>
      </c>
      <c r="J25">
        <v>11</v>
      </c>
    </row>
    <row r="26" spans="1:10" x14ac:dyDescent="0.2">
      <c r="A26">
        <v>1999</v>
      </c>
      <c r="B26" s="8">
        <v>156</v>
      </c>
      <c r="C26" s="2">
        <v>36161</v>
      </c>
      <c r="D26" s="2">
        <v>36525</v>
      </c>
      <c r="E26">
        <f t="shared" si="1"/>
        <v>365</v>
      </c>
      <c r="F26" t="s">
        <v>8</v>
      </c>
      <c r="G26" t="s">
        <v>8</v>
      </c>
      <c r="H26">
        <f t="shared" si="2"/>
        <v>365</v>
      </c>
      <c r="I26">
        <v>0</v>
      </c>
      <c r="J26">
        <v>5</v>
      </c>
    </row>
    <row r="27" spans="1:10" x14ac:dyDescent="0.2">
      <c r="A27">
        <v>1998</v>
      </c>
      <c r="B27" s="8">
        <v>114</v>
      </c>
      <c r="C27" s="2">
        <v>35796</v>
      </c>
      <c r="D27" s="2">
        <v>36160</v>
      </c>
      <c r="E27">
        <f t="shared" si="1"/>
        <v>365</v>
      </c>
      <c r="F27" t="s">
        <v>8</v>
      </c>
      <c r="G27" t="s">
        <v>8</v>
      </c>
      <c r="H27">
        <f t="shared" si="2"/>
        <v>365</v>
      </c>
      <c r="I27">
        <v>0</v>
      </c>
      <c r="J27">
        <v>0</v>
      </c>
    </row>
    <row r="28" spans="1:10" x14ac:dyDescent="0.2">
      <c r="A28">
        <v>1997</v>
      </c>
      <c r="B28" s="8">
        <v>71</v>
      </c>
      <c r="C28" s="2">
        <v>35431</v>
      </c>
      <c r="D28" s="2">
        <v>35795</v>
      </c>
      <c r="E28">
        <f t="shared" si="1"/>
        <v>365</v>
      </c>
      <c r="F28" t="s">
        <v>8</v>
      </c>
      <c r="G28" t="s">
        <v>8</v>
      </c>
      <c r="H28">
        <f t="shared" si="2"/>
        <v>365</v>
      </c>
      <c r="I28">
        <v>0</v>
      </c>
      <c r="J28">
        <v>1</v>
      </c>
    </row>
    <row r="29" spans="1:10" x14ac:dyDescent="0.2">
      <c r="A29">
        <v>1996</v>
      </c>
      <c r="B29" s="8">
        <v>42</v>
      </c>
      <c r="C29" s="2">
        <v>35065</v>
      </c>
      <c r="D29" s="2">
        <v>35430</v>
      </c>
      <c r="E29">
        <f t="shared" si="1"/>
        <v>366</v>
      </c>
      <c r="F29" t="s">
        <v>8</v>
      </c>
      <c r="G29" t="s">
        <v>8</v>
      </c>
      <c r="H29">
        <f t="shared" si="2"/>
        <v>366</v>
      </c>
      <c r="I29">
        <v>0</v>
      </c>
      <c r="J29">
        <v>1</v>
      </c>
    </row>
    <row r="30" spans="1:10" x14ac:dyDescent="0.2">
      <c r="A30">
        <v>1995</v>
      </c>
      <c r="B30" s="8">
        <v>14</v>
      </c>
      <c r="C30" s="2">
        <v>34700</v>
      </c>
      <c r="D30" s="2">
        <v>35064</v>
      </c>
      <c r="E30">
        <f t="shared" si="1"/>
        <v>365</v>
      </c>
      <c r="F30" t="s">
        <v>8</v>
      </c>
      <c r="G30" t="s">
        <v>8</v>
      </c>
      <c r="H30">
        <f t="shared" si="2"/>
        <v>365</v>
      </c>
      <c r="I30">
        <v>0</v>
      </c>
      <c r="J3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B9A5-4193-3045-8AC1-E6D65A6AA422}">
  <dimension ref="A1:K46"/>
  <sheetViews>
    <sheetView workbookViewId="0">
      <selection activeCell="J29" sqref="J2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18">
        <v>1087</v>
      </c>
      <c r="C3" s="19">
        <v>44562</v>
      </c>
      <c r="D3" s="19">
        <v>44926</v>
      </c>
      <c r="E3" s="20">
        <v>365</v>
      </c>
      <c r="F3" s="20" t="s">
        <v>8</v>
      </c>
      <c r="G3" s="20" t="s">
        <v>8</v>
      </c>
      <c r="H3" s="20">
        <v>0</v>
      </c>
      <c r="I3" s="20">
        <v>365</v>
      </c>
      <c r="J3" s="21">
        <v>294</v>
      </c>
    </row>
    <row r="4" spans="1:10" x14ac:dyDescent="0.2">
      <c r="A4">
        <v>2021</v>
      </c>
      <c r="B4" s="18">
        <v>1143</v>
      </c>
      <c r="C4" s="19">
        <v>44197</v>
      </c>
      <c r="D4" s="19">
        <v>44561</v>
      </c>
      <c r="E4" s="20">
        <v>365</v>
      </c>
      <c r="F4" s="20" t="s">
        <v>8</v>
      </c>
      <c r="G4" s="20" t="s">
        <v>8</v>
      </c>
      <c r="H4" s="20">
        <v>0</v>
      </c>
      <c r="I4" s="20">
        <v>365</v>
      </c>
      <c r="J4" s="21">
        <v>338</v>
      </c>
    </row>
    <row r="5" spans="1:10" x14ac:dyDescent="0.2">
      <c r="A5">
        <v>2020</v>
      </c>
      <c r="B5" s="18">
        <v>1184</v>
      </c>
      <c r="C5" s="19">
        <v>43831</v>
      </c>
      <c r="D5" s="19">
        <v>44196</v>
      </c>
      <c r="E5" s="20">
        <v>366</v>
      </c>
      <c r="F5" s="20" t="s">
        <v>8</v>
      </c>
      <c r="G5" s="20" t="s">
        <v>8</v>
      </c>
      <c r="H5" s="20">
        <v>0</v>
      </c>
      <c r="I5" s="20">
        <v>366</v>
      </c>
      <c r="J5" s="21">
        <v>357</v>
      </c>
    </row>
    <row r="6" spans="1:10" x14ac:dyDescent="0.2">
      <c r="A6">
        <v>2019</v>
      </c>
      <c r="B6" s="18">
        <v>1159</v>
      </c>
      <c r="C6" s="19">
        <v>43466</v>
      </c>
      <c r="D6" s="19">
        <v>43830</v>
      </c>
      <c r="E6" s="20">
        <v>365</v>
      </c>
      <c r="F6" s="20" t="s">
        <v>8</v>
      </c>
      <c r="G6" s="20" t="s">
        <v>8</v>
      </c>
      <c r="H6" s="20">
        <v>0</v>
      </c>
      <c r="I6" s="20">
        <v>365</v>
      </c>
      <c r="J6" s="21">
        <v>370</v>
      </c>
    </row>
    <row r="7" spans="1:10" x14ac:dyDescent="0.2">
      <c r="A7">
        <v>2018</v>
      </c>
      <c r="B7" s="18">
        <v>1153</v>
      </c>
      <c r="C7" s="19">
        <v>43101</v>
      </c>
      <c r="D7" s="19">
        <v>43465</v>
      </c>
      <c r="E7" s="20">
        <v>365</v>
      </c>
      <c r="F7" s="20" t="s">
        <v>8</v>
      </c>
      <c r="G7" s="20" t="s">
        <v>8</v>
      </c>
      <c r="H7" s="20">
        <v>0</v>
      </c>
      <c r="I7" s="20">
        <v>365</v>
      </c>
      <c r="J7" s="21">
        <v>319</v>
      </c>
    </row>
    <row r="8" spans="1:10" x14ac:dyDescent="0.2">
      <c r="A8">
        <v>2017</v>
      </c>
      <c r="B8" s="18">
        <v>1117</v>
      </c>
      <c r="C8" s="19">
        <v>42736</v>
      </c>
      <c r="D8" s="19">
        <v>43100</v>
      </c>
      <c r="E8" s="20">
        <v>365</v>
      </c>
      <c r="F8" s="20" t="s">
        <v>8</v>
      </c>
      <c r="G8" s="20" t="s">
        <v>8</v>
      </c>
      <c r="H8" s="20">
        <v>0</v>
      </c>
      <c r="I8" s="20">
        <v>365</v>
      </c>
      <c r="J8" s="21">
        <v>290</v>
      </c>
    </row>
    <row r="9" spans="1:10" x14ac:dyDescent="0.2">
      <c r="A9">
        <v>2016</v>
      </c>
      <c r="B9" s="18">
        <v>1126</v>
      </c>
      <c r="C9" s="19">
        <v>42370</v>
      </c>
      <c r="D9" s="19">
        <v>42735</v>
      </c>
      <c r="E9" s="20">
        <v>366</v>
      </c>
      <c r="F9" s="20" t="s">
        <v>8</v>
      </c>
      <c r="G9" s="20" t="s">
        <v>8</v>
      </c>
      <c r="H9" s="20">
        <v>0</v>
      </c>
      <c r="I9" s="20">
        <v>366</v>
      </c>
      <c r="J9" s="21">
        <v>316</v>
      </c>
    </row>
    <row r="10" spans="1:10" x14ac:dyDescent="0.2">
      <c r="A10">
        <v>2015</v>
      </c>
      <c r="B10" s="21">
        <v>1190</v>
      </c>
      <c r="C10" s="19">
        <v>42005</v>
      </c>
      <c r="D10" s="19">
        <v>42369</v>
      </c>
      <c r="E10" s="20">
        <v>365</v>
      </c>
      <c r="F10" s="20" t="s">
        <v>8</v>
      </c>
      <c r="G10" s="20" t="s">
        <v>8</v>
      </c>
      <c r="H10" s="20">
        <v>0</v>
      </c>
      <c r="I10" s="20">
        <v>365</v>
      </c>
      <c r="J10" s="21">
        <v>256</v>
      </c>
    </row>
    <row r="11" spans="1:10" x14ac:dyDescent="0.2">
      <c r="A11">
        <v>2014</v>
      </c>
      <c r="B11" s="21">
        <v>1143</v>
      </c>
      <c r="C11" s="19">
        <v>41640</v>
      </c>
      <c r="D11" s="19">
        <v>42004</v>
      </c>
      <c r="E11" s="20">
        <v>365</v>
      </c>
      <c r="F11" s="20" t="s">
        <v>8</v>
      </c>
      <c r="G11" s="20" t="s">
        <v>8</v>
      </c>
      <c r="H11" s="20">
        <v>0</v>
      </c>
      <c r="I11" s="20">
        <v>365</v>
      </c>
      <c r="J11" s="21">
        <v>276</v>
      </c>
    </row>
    <row r="12" spans="1:10" x14ac:dyDescent="0.2">
      <c r="A12">
        <v>2013</v>
      </c>
      <c r="B12" s="21">
        <v>1210</v>
      </c>
      <c r="C12" s="19">
        <v>41275</v>
      </c>
      <c r="D12" s="19">
        <v>41639</v>
      </c>
      <c r="E12" s="20">
        <v>365</v>
      </c>
      <c r="F12" s="20" t="s">
        <v>8</v>
      </c>
      <c r="G12" s="20" t="s">
        <v>8</v>
      </c>
      <c r="H12" s="20">
        <v>0</v>
      </c>
      <c r="I12" s="20">
        <v>365</v>
      </c>
      <c r="J12" s="21">
        <v>306</v>
      </c>
    </row>
    <row r="13" spans="1:10" x14ac:dyDescent="0.2">
      <c r="A13">
        <v>2012</v>
      </c>
      <c r="B13" s="21">
        <v>1205</v>
      </c>
      <c r="C13" s="19">
        <v>40909</v>
      </c>
      <c r="D13" s="19">
        <v>41274</v>
      </c>
      <c r="E13" s="20">
        <v>366</v>
      </c>
      <c r="F13" s="20" t="s">
        <v>8</v>
      </c>
      <c r="G13" s="20" t="s">
        <v>8</v>
      </c>
      <c r="H13" s="20">
        <v>0</v>
      </c>
      <c r="I13" s="20">
        <v>365</v>
      </c>
      <c r="J13" s="21">
        <v>283</v>
      </c>
    </row>
    <row r="14" spans="1:10" x14ac:dyDescent="0.2">
      <c r="A14">
        <v>2011</v>
      </c>
      <c r="B14" s="21">
        <v>1259</v>
      </c>
      <c r="C14" s="19">
        <v>40544</v>
      </c>
      <c r="D14" s="19">
        <v>40908</v>
      </c>
      <c r="E14" s="20">
        <v>365</v>
      </c>
      <c r="F14" s="20" t="s">
        <v>8</v>
      </c>
      <c r="G14" s="19">
        <v>40668</v>
      </c>
      <c r="H14" s="20">
        <v>124</v>
      </c>
      <c r="I14" s="20">
        <v>241</v>
      </c>
      <c r="J14" s="21">
        <v>185</v>
      </c>
    </row>
    <row r="15" spans="1:10" x14ac:dyDescent="0.2">
      <c r="A15">
        <v>2010</v>
      </c>
      <c r="B15" s="21">
        <v>1149</v>
      </c>
      <c r="C15" s="19">
        <v>40179</v>
      </c>
      <c r="D15" s="19">
        <v>40543</v>
      </c>
      <c r="E15" s="20">
        <v>365</v>
      </c>
      <c r="F15" s="19">
        <v>40395</v>
      </c>
      <c r="G15" s="20" t="s">
        <v>8</v>
      </c>
      <c r="H15" s="20">
        <v>148.5</v>
      </c>
      <c r="I15" s="20">
        <v>216.5</v>
      </c>
      <c r="J15" s="21">
        <v>141</v>
      </c>
    </row>
    <row r="16" spans="1:10" x14ac:dyDescent="0.2">
      <c r="A16">
        <v>2009</v>
      </c>
      <c r="B16" s="21">
        <v>1028</v>
      </c>
      <c r="C16" s="19">
        <v>39814</v>
      </c>
      <c r="D16" s="19">
        <v>40178</v>
      </c>
      <c r="E16" s="20">
        <v>365</v>
      </c>
      <c r="F16" s="20" t="s">
        <v>8</v>
      </c>
      <c r="G16" s="19">
        <v>39937</v>
      </c>
      <c r="H16" s="20">
        <v>123</v>
      </c>
      <c r="I16" s="20">
        <v>242</v>
      </c>
      <c r="J16" s="21">
        <v>217</v>
      </c>
    </row>
    <row r="17" spans="1:11" x14ac:dyDescent="0.2">
      <c r="A17">
        <v>2008</v>
      </c>
      <c r="B17" s="21">
        <v>849</v>
      </c>
      <c r="C17" s="19">
        <v>39448</v>
      </c>
      <c r="D17" s="19">
        <v>39813</v>
      </c>
      <c r="E17" s="20">
        <v>366</v>
      </c>
      <c r="F17" s="19">
        <v>39647</v>
      </c>
      <c r="G17" s="19">
        <v>39535</v>
      </c>
      <c r="H17" s="20">
        <v>253.5</v>
      </c>
      <c r="I17" s="20">
        <v>112.5</v>
      </c>
      <c r="J17" s="21">
        <v>110</v>
      </c>
    </row>
    <row r="18" spans="1:11" x14ac:dyDescent="0.2">
      <c r="A18">
        <v>2007</v>
      </c>
      <c r="B18" s="21">
        <v>659</v>
      </c>
      <c r="C18" s="19">
        <v>39083</v>
      </c>
      <c r="D18" s="19">
        <v>39447</v>
      </c>
      <c r="E18" s="20">
        <v>365</v>
      </c>
      <c r="F18" s="20" t="s">
        <v>8</v>
      </c>
      <c r="G18" s="20" t="s">
        <v>8</v>
      </c>
      <c r="H18" s="20">
        <v>365</v>
      </c>
      <c r="I18" s="20">
        <v>0</v>
      </c>
      <c r="J18" s="21">
        <v>73</v>
      </c>
    </row>
    <row r="19" spans="1:11" x14ac:dyDescent="0.2">
      <c r="A19">
        <v>2006</v>
      </c>
      <c r="B19" s="3">
        <v>316</v>
      </c>
      <c r="C19" s="2">
        <v>38718</v>
      </c>
      <c r="D19" s="2">
        <v>39082</v>
      </c>
      <c r="E19">
        <f t="shared" ref="E19:E46" si="0">D19-C19+1</f>
        <v>365</v>
      </c>
      <c r="F19" t="s">
        <v>8</v>
      </c>
      <c r="G19" t="s">
        <v>8</v>
      </c>
      <c r="H19">
        <f t="shared" ref="H19:H46" si="1">E19</f>
        <v>365</v>
      </c>
      <c r="I19">
        <v>0</v>
      </c>
      <c r="J19" s="10">
        <v>53</v>
      </c>
      <c r="K19" s="10"/>
    </row>
    <row r="20" spans="1:11" x14ac:dyDescent="0.2">
      <c r="A20">
        <v>2005</v>
      </c>
      <c r="B20" s="3">
        <v>256</v>
      </c>
      <c r="C20" s="2">
        <v>38353</v>
      </c>
      <c r="D20" s="2">
        <v>38717</v>
      </c>
      <c r="E20">
        <f t="shared" si="0"/>
        <v>365</v>
      </c>
      <c r="F20" t="s">
        <v>8</v>
      </c>
      <c r="G20" t="s">
        <v>8</v>
      </c>
      <c r="H20">
        <f t="shared" si="1"/>
        <v>365</v>
      </c>
      <c r="I20">
        <v>0</v>
      </c>
      <c r="J20" s="10">
        <v>35</v>
      </c>
      <c r="K20" s="10"/>
    </row>
    <row r="21" spans="1:11" x14ac:dyDescent="0.2">
      <c r="A21">
        <v>2004</v>
      </c>
      <c r="B21" s="3">
        <v>153</v>
      </c>
      <c r="C21" s="2">
        <v>37987</v>
      </c>
      <c r="D21" s="2">
        <v>38352</v>
      </c>
      <c r="E21">
        <f t="shared" si="0"/>
        <v>366</v>
      </c>
      <c r="F21" t="s">
        <v>8</v>
      </c>
      <c r="G21" t="s">
        <v>8</v>
      </c>
      <c r="H21">
        <f t="shared" si="1"/>
        <v>366</v>
      </c>
      <c r="I21">
        <v>0</v>
      </c>
      <c r="J21" s="10">
        <v>39</v>
      </c>
      <c r="K21" s="10"/>
    </row>
    <row r="22" spans="1:11" x14ac:dyDescent="0.2">
      <c r="A22">
        <v>2003</v>
      </c>
      <c r="B22" s="3">
        <v>182</v>
      </c>
      <c r="C22" s="2">
        <v>37622</v>
      </c>
      <c r="D22" s="2">
        <v>37986</v>
      </c>
      <c r="E22">
        <f t="shared" si="0"/>
        <v>365</v>
      </c>
      <c r="F22" t="s">
        <v>8</v>
      </c>
      <c r="G22" t="s">
        <v>8</v>
      </c>
      <c r="H22">
        <f t="shared" si="1"/>
        <v>365</v>
      </c>
      <c r="I22">
        <v>0</v>
      </c>
      <c r="J22" s="10">
        <v>34</v>
      </c>
      <c r="K22" s="10"/>
    </row>
    <row r="23" spans="1:11" x14ac:dyDescent="0.2">
      <c r="A23">
        <v>2002</v>
      </c>
      <c r="B23" s="3">
        <v>183</v>
      </c>
      <c r="C23" s="2">
        <v>37257</v>
      </c>
      <c r="D23" s="2">
        <v>37621</v>
      </c>
      <c r="E23">
        <f t="shared" si="0"/>
        <v>365</v>
      </c>
      <c r="F23" t="s">
        <v>8</v>
      </c>
      <c r="G23" t="s">
        <v>8</v>
      </c>
      <c r="H23">
        <f t="shared" si="1"/>
        <v>365</v>
      </c>
      <c r="I23">
        <v>0</v>
      </c>
      <c r="J23" s="10">
        <v>26</v>
      </c>
      <c r="K23" s="10"/>
    </row>
    <row r="24" spans="1:11" x14ac:dyDescent="0.2">
      <c r="A24">
        <v>2001</v>
      </c>
      <c r="B24" s="3">
        <v>123</v>
      </c>
      <c r="C24" s="2">
        <v>36892</v>
      </c>
      <c r="D24" s="2">
        <v>37256</v>
      </c>
      <c r="E24">
        <f t="shared" si="0"/>
        <v>365</v>
      </c>
      <c r="F24" t="s">
        <v>8</v>
      </c>
      <c r="G24" t="s">
        <v>8</v>
      </c>
      <c r="H24">
        <f t="shared" si="1"/>
        <v>365</v>
      </c>
      <c r="I24">
        <v>0</v>
      </c>
      <c r="J24" s="10">
        <v>8</v>
      </c>
      <c r="K24" s="10"/>
    </row>
    <row r="25" spans="1:11" x14ac:dyDescent="0.2">
      <c r="A25">
        <v>2000</v>
      </c>
      <c r="B25" s="3">
        <v>97</v>
      </c>
      <c r="C25" s="2">
        <v>36526</v>
      </c>
      <c r="D25" s="2">
        <v>36891</v>
      </c>
      <c r="E25">
        <f t="shared" si="0"/>
        <v>366</v>
      </c>
      <c r="F25" t="s">
        <v>8</v>
      </c>
      <c r="G25" t="s">
        <v>8</v>
      </c>
      <c r="H25">
        <f t="shared" si="1"/>
        <v>366</v>
      </c>
      <c r="I25">
        <v>0</v>
      </c>
      <c r="J25" s="10">
        <v>7</v>
      </c>
      <c r="K25" s="10"/>
    </row>
    <row r="26" spans="1:11" x14ac:dyDescent="0.2">
      <c r="A26">
        <v>1999</v>
      </c>
      <c r="B26" s="3">
        <v>74</v>
      </c>
      <c r="C26" s="2">
        <v>36161</v>
      </c>
      <c r="D26" s="2">
        <v>36525</v>
      </c>
      <c r="E26">
        <f t="shared" si="0"/>
        <v>365</v>
      </c>
      <c r="F26" t="s">
        <v>8</v>
      </c>
      <c r="G26" t="s">
        <v>8</v>
      </c>
      <c r="H26">
        <f t="shared" si="1"/>
        <v>365</v>
      </c>
      <c r="I26">
        <v>0</v>
      </c>
      <c r="J26" s="10">
        <v>19</v>
      </c>
      <c r="K26" s="10"/>
    </row>
    <row r="27" spans="1:11" x14ac:dyDescent="0.2">
      <c r="A27">
        <v>1998</v>
      </c>
      <c r="B27" s="3">
        <v>49</v>
      </c>
      <c r="C27" s="2">
        <v>35796</v>
      </c>
      <c r="D27" s="2">
        <v>36160</v>
      </c>
      <c r="E27">
        <f t="shared" si="0"/>
        <v>365</v>
      </c>
      <c r="F27" t="s">
        <v>8</v>
      </c>
      <c r="G27" t="s">
        <v>8</v>
      </c>
      <c r="H27">
        <f t="shared" si="1"/>
        <v>365</v>
      </c>
      <c r="I27">
        <v>0</v>
      </c>
      <c r="J27" s="10">
        <v>4</v>
      </c>
      <c r="K27" s="10"/>
    </row>
    <row r="28" spans="1:11" x14ac:dyDescent="0.2">
      <c r="A28">
        <v>1997</v>
      </c>
      <c r="B28" s="3">
        <v>56</v>
      </c>
      <c r="C28" s="2">
        <v>35431</v>
      </c>
      <c r="D28" s="2">
        <v>35795</v>
      </c>
      <c r="E28">
        <f t="shared" si="0"/>
        <v>365</v>
      </c>
      <c r="F28" t="s">
        <v>8</v>
      </c>
      <c r="G28" t="s">
        <v>8</v>
      </c>
      <c r="H28">
        <f t="shared" si="1"/>
        <v>365</v>
      </c>
      <c r="I28">
        <v>0</v>
      </c>
      <c r="J28" s="10">
        <v>18</v>
      </c>
      <c r="K28" s="10"/>
    </row>
    <row r="29" spans="1:11" x14ac:dyDescent="0.2">
      <c r="A29">
        <v>1996</v>
      </c>
      <c r="B29" s="3">
        <v>70</v>
      </c>
      <c r="C29" s="2">
        <v>35065</v>
      </c>
      <c r="D29" s="2">
        <v>35430</v>
      </c>
      <c r="E29">
        <f t="shared" si="0"/>
        <v>366</v>
      </c>
      <c r="F29" t="s">
        <v>8</v>
      </c>
      <c r="G29" t="s">
        <v>8</v>
      </c>
      <c r="H29">
        <f t="shared" si="1"/>
        <v>366</v>
      </c>
      <c r="I29">
        <v>0</v>
      </c>
      <c r="J29" s="10">
        <v>5</v>
      </c>
      <c r="K29" s="10"/>
    </row>
    <row r="30" spans="1:11" x14ac:dyDescent="0.2">
      <c r="A30">
        <v>1995</v>
      </c>
      <c r="B30" s="3">
        <v>66</v>
      </c>
      <c r="C30" s="2">
        <v>34700</v>
      </c>
      <c r="D30" s="2">
        <v>35064</v>
      </c>
      <c r="E30">
        <f t="shared" si="0"/>
        <v>365</v>
      </c>
      <c r="F30" t="s">
        <v>8</v>
      </c>
      <c r="G30" t="s">
        <v>8</v>
      </c>
      <c r="H30">
        <f t="shared" si="1"/>
        <v>365</v>
      </c>
      <c r="I30">
        <v>0</v>
      </c>
      <c r="J30" s="10">
        <v>0</v>
      </c>
      <c r="K30" s="10"/>
    </row>
    <row r="31" spans="1:11" x14ac:dyDescent="0.2">
      <c r="A31">
        <v>1994</v>
      </c>
      <c r="B31" s="3">
        <v>48</v>
      </c>
      <c r="C31" s="2">
        <v>34335</v>
      </c>
      <c r="D31" s="2">
        <v>34699</v>
      </c>
      <c r="E31">
        <f t="shared" si="0"/>
        <v>365</v>
      </c>
      <c r="F31" t="s">
        <v>8</v>
      </c>
      <c r="G31" t="s">
        <v>8</v>
      </c>
      <c r="H31">
        <f t="shared" si="1"/>
        <v>365</v>
      </c>
      <c r="I31">
        <v>0</v>
      </c>
      <c r="J31" s="10">
        <v>0</v>
      </c>
      <c r="K31" s="10"/>
    </row>
    <row r="32" spans="1:11" x14ac:dyDescent="0.2">
      <c r="A32">
        <v>1993</v>
      </c>
      <c r="B32" s="3">
        <v>55</v>
      </c>
      <c r="C32" s="2">
        <v>33970</v>
      </c>
      <c r="D32" s="2">
        <v>34334</v>
      </c>
      <c r="E32">
        <f t="shared" si="0"/>
        <v>365</v>
      </c>
      <c r="F32" t="s">
        <v>8</v>
      </c>
      <c r="G32" t="s">
        <v>8</v>
      </c>
      <c r="H32">
        <f t="shared" si="1"/>
        <v>365</v>
      </c>
      <c r="I32">
        <v>0</v>
      </c>
      <c r="J32" s="10">
        <v>0</v>
      </c>
      <c r="K32" s="10"/>
    </row>
    <row r="33" spans="1:11" x14ac:dyDescent="0.2">
      <c r="A33">
        <v>1992</v>
      </c>
      <c r="B33" s="3">
        <v>41</v>
      </c>
      <c r="C33" s="2">
        <v>33604</v>
      </c>
      <c r="D33" s="2">
        <v>33969</v>
      </c>
      <c r="E33">
        <f t="shared" si="0"/>
        <v>366</v>
      </c>
      <c r="F33" t="s">
        <v>8</v>
      </c>
      <c r="G33" t="s">
        <v>8</v>
      </c>
      <c r="H33">
        <f t="shared" si="1"/>
        <v>366</v>
      </c>
      <c r="I33">
        <v>0</v>
      </c>
      <c r="J33" s="10">
        <v>0</v>
      </c>
      <c r="K33" s="10"/>
    </row>
    <row r="34" spans="1:11" x14ac:dyDescent="0.2">
      <c r="A34">
        <v>1991</v>
      </c>
      <c r="B34" s="3">
        <v>29</v>
      </c>
      <c r="C34" s="2">
        <v>33239</v>
      </c>
      <c r="D34" s="2">
        <v>33603</v>
      </c>
      <c r="E34">
        <f t="shared" si="0"/>
        <v>365</v>
      </c>
      <c r="F34" t="s">
        <v>8</v>
      </c>
      <c r="G34" t="s">
        <v>8</v>
      </c>
      <c r="H34">
        <f t="shared" si="1"/>
        <v>365</v>
      </c>
      <c r="I34">
        <v>0</v>
      </c>
      <c r="J34" s="10">
        <v>0</v>
      </c>
      <c r="K34" s="10"/>
    </row>
    <row r="35" spans="1:11" x14ac:dyDescent="0.2">
      <c r="A35">
        <v>1990</v>
      </c>
      <c r="B35" s="3">
        <v>33</v>
      </c>
      <c r="C35" s="2">
        <v>32874</v>
      </c>
      <c r="D35" s="2">
        <v>33238</v>
      </c>
      <c r="E35">
        <f t="shared" si="0"/>
        <v>365</v>
      </c>
      <c r="F35" t="s">
        <v>8</v>
      </c>
      <c r="G35" t="s">
        <v>8</v>
      </c>
      <c r="H35">
        <f t="shared" si="1"/>
        <v>365</v>
      </c>
      <c r="I35">
        <v>0</v>
      </c>
      <c r="J35" s="10">
        <v>1</v>
      </c>
      <c r="K35" s="10"/>
    </row>
    <row r="36" spans="1:11" x14ac:dyDescent="0.2">
      <c r="A36">
        <v>1989</v>
      </c>
      <c r="B36" s="3">
        <v>12</v>
      </c>
      <c r="C36" s="2">
        <v>32509</v>
      </c>
      <c r="D36" s="2">
        <v>32873</v>
      </c>
      <c r="E36">
        <f t="shared" si="0"/>
        <v>365</v>
      </c>
      <c r="F36" t="s">
        <v>8</v>
      </c>
      <c r="G36" t="s">
        <v>8</v>
      </c>
      <c r="H36">
        <f t="shared" si="1"/>
        <v>365</v>
      </c>
      <c r="I36">
        <v>0</v>
      </c>
      <c r="J36" s="10">
        <v>1</v>
      </c>
      <c r="K36" s="10"/>
    </row>
    <row r="37" spans="1:11" x14ac:dyDescent="0.2">
      <c r="A37">
        <v>1988</v>
      </c>
      <c r="B37" s="3">
        <v>14</v>
      </c>
      <c r="C37" s="2">
        <v>32143</v>
      </c>
      <c r="D37" s="2">
        <v>32508</v>
      </c>
      <c r="E37">
        <f t="shared" si="0"/>
        <v>366</v>
      </c>
      <c r="F37" t="s">
        <v>8</v>
      </c>
      <c r="G37" t="s">
        <v>8</v>
      </c>
      <c r="H37">
        <f t="shared" si="1"/>
        <v>366</v>
      </c>
      <c r="I37">
        <v>0</v>
      </c>
      <c r="J37" s="10">
        <v>0</v>
      </c>
      <c r="K37" s="10"/>
    </row>
    <row r="38" spans="1:11" x14ac:dyDescent="0.2">
      <c r="A38">
        <v>1987</v>
      </c>
      <c r="B38" s="3">
        <v>10</v>
      </c>
      <c r="C38" s="2">
        <v>31778</v>
      </c>
      <c r="D38" s="2">
        <v>32142</v>
      </c>
      <c r="E38">
        <f t="shared" si="0"/>
        <v>365</v>
      </c>
      <c r="F38" t="s">
        <v>8</v>
      </c>
      <c r="G38" t="s">
        <v>8</v>
      </c>
      <c r="H38">
        <f t="shared" si="1"/>
        <v>365</v>
      </c>
      <c r="I38">
        <v>0</v>
      </c>
      <c r="J38" s="10">
        <v>4</v>
      </c>
      <c r="K38" s="10"/>
    </row>
    <row r="39" spans="1:11" x14ac:dyDescent="0.2">
      <c r="A39">
        <v>1986</v>
      </c>
      <c r="B39" s="3">
        <v>15</v>
      </c>
      <c r="C39" s="2">
        <v>31413</v>
      </c>
      <c r="D39" s="2">
        <v>31777</v>
      </c>
      <c r="E39">
        <f t="shared" si="0"/>
        <v>365</v>
      </c>
      <c r="F39" t="s">
        <v>8</v>
      </c>
      <c r="G39" t="s">
        <v>8</v>
      </c>
      <c r="H39">
        <f t="shared" si="1"/>
        <v>365</v>
      </c>
      <c r="I39">
        <v>0</v>
      </c>
      <c r="J39" s="10">
        <v>0</v>
      </c>
      <c r="K39" s="10"/>
    </row>
    <row r="40" spans="1:11" x14ac:dyDescent="0.2">
      <c r="A40">
        <v>1985</v>
      </c>
      <c r="B40" s="3">
        <v>13</v>
      </c>
      <c r="C40" s="2">
        <v>31048</v>
      </c>
      <c r="D40" s="2">
        <v>31412</v>
      </c>
      <c r="E40">
        <f t="shared" si="0"/>
        <v>365</v>
      </c>
      <c r="F40" t="s">
        <v>8</v>
      </c>
      <c r="G40" t="s">
        <v>8</v>
      </c>
      <c r="H40">
        <f t="shared" si="1"/>
        <v>365</v>
      </c>
      <c r="I40">
        <v>0</v>
      </c>
      <c r="J40" s="10">
        <v>0</v>
      </c>
      <c r="K40" s="10"/>
    </row>
    <row r="41" spans="1:11" x14ac:dyDescent="0.2">
      <c r="A41">
        <v>1984</v>
      </c>
      <c r="B41" s="3">
        <v>6</v>
      </c>
      <c r="C41" s="2">
        <v>30682</v>
      </c>
      <c r="D41" s="2">
        <v>31047</v>
      </c>
      <c r="E41">
        <f t="shared" si="0"/>
        <v>366</v>
      </c>
      <c r="F41" t="s">
        <v>8</v>
      </c>
      <c r="G41" t="s">
        <v>8</v>
      </c>
      <c r="H41">
        <f t="shared" si="1"/>
        <v>366</v>
      </c>
      <c r="I41">
        <v>0</v>
      </c>
      <c r="J41" s="10">
        <v>0</v>
      </c>
      <c r="K41" s="10"/>
    </row>
    <row r="42" spans="1:11" x14ac:dyDescent="0.2">
      <c r="A42">
        <v>1983</v>
      </c>
      <c r="B42" s="3">
        <v>6</v>
      </c>
      <c r="C42" s="2">
        <v>30317</v>
      </c>
      <c r="D42" s="2">
        <v>30681</v>
      </c>
      <c r="E42">
        <f t="shared" si="0"/>
        <v>365</v>
      </c>
      <c r="F42" t="s">
        <v>8</v>
      </c>
      <c r="G42" t="s">
        <v>8</v>
      </c>
      <c r="H42">
        <f t="shared" si="1"/>
        <v>365</v>
      </c>
      <c r="I42">
        <v>0</v>
      </c>
      <c r="J42" s="10">
        <v>0</v>
      </c>
      <c r="K42" s="10"/>
    </row>
    <row r="43" spans="1:11" x14ac:dyDescent="0.2">
      <c r="A43">
        <v>1982</v>
      </c>
      <c r="B43" s="3">
        <v>8</v>
      </c>
      <c r="C43" s="2">
        <v>29952</v>
      </c>
      <c r="D43" s="2">
        <v>30316</v>
      </c>
      <c r="E43">
        <f t="shared" si="0"/>
        <v>365</v>
      </c>
      <c r="F43" t="s">
        <v>8</v>
      </c>
      <c r="G43" t="s">
        <v>8</v>
      </c>
      <c r="H43">
        <f t="shared" si="1"/>
        <v>365</v>
      </c>
      <c r="I43">
        <v>0</v>
      </c>
      <c r="J43" s="10">
        <v>0</v>
      </c>
      <c r="K43" s="10"/>
    </row>
    <row r="44" spans="1:11" x14ac:dyDescent="0.2">
      <c r="A44">
        <v>1981</v>
      </c>
      <c r="B44" s="3">
        <v>2</v>
      </c>
      <c r="C44" s="2">
        <v>29587</v>
      </c>
      <c r="D44" s="2">
        <v>29951</v>
      </c>
      <c r="E44">
        <f t="shared" si="0"/>
        <v>365</v>
      </c>
      <c r="F44" t="s">
        <v>8</v>
      </c>
      <c r="G44" t="s">
        <v>8</v>
      </c>
      <c r="H44">
        <f t="shared" si="1"/>
        <v>365</v>
      </c>
      <c r="I44">
        <v>0</v>
      </c>
      <c r="J44" s="10">
        <v>0</v>
      </c>
      <c r="K44" s="10"/>
    </row>
    <row r="45" spans="1:11" x14ac:dyDescent="0.2">
      <c r="A45">
        <v>1980</v>
      </c>
      <c r="B45" s="3">
        <v>1</v>
      </c>
      <c r="C45" s="2">
        <v>29221</v>
      </c>
      <c r="D45" s="2">
        <v>29586</v>
      </c>
      <c r="E45">
        <f t="shared" si="0"/>
        <v>366</v>
      </c>
      <c r="F45" t="s">
        <v>8</v>
      </c>
      <c r="G45" t="s">
        <v>8</v>
      </c>
      <c r="H45">
        <f t="shared" si="1"/>
        <v>366</v>
      </c>
      <c r="I45">
        <v>0</v>
      </c>
      <c r="J45" s="10">
        <v>0</v>
      </c>
      <c r="K45" s="10"/>
    </row>
    <row r="46" spans="1:11" x14ac:dyDescent="0.2">
      <c r="A46">
        <v>1979</v>
      </c>
      <c r="B46" s="3">
        <v>2</v>
      </c>
      <c r="C46" s="2">
        <v>28856</v>
      </c>
      <c r="D46" s="2">
        <v>29220</v>
      </c>
      <c r="E46">
        <f t="shared" si="0"/>
        <v>365</v>
      </c>
      <c r="F46" t="s">
        <v>8</v>
      </c>
      <c r="G46" t="s">
        <v>8</v>
      </c>
      <c r="H46">
        <f t="shared" si="1"/>
        <v>365</v>
      </c>
      <c r="I46">
        <v>0</v>
      </c>
      <c r="J46" s="10">
        <v>0</v>
      </c>
      <c r="K4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90E5-0138-5C47-A9A1-3288CF11A429}">
  <dimension ref="A1:J30"/>
  <sheetViews>
    <sheetView workbookViewId="0">
      <selection activeCell="J17" sqref="J1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10">
        <v>338</v>
      </c>
      <c r="C3" s="2">
        <v>44562</v>
      </c>
      <c r="D3" s="2">
        <v>44926</v>
      </c>
      <c r="E3">
        <f t="shared" ref="E3:E8" si="0">D3-C3+1</f>
        <v>365</v>
      </c>
      <c r="F3" s="4" t="s">
        <v>8</v>
      </c>
      <c r="G3" s="4" t="s">
        <v>8</v>
      </c>
      <c r="H3">
        <f>0</f>
        <v>0</v>
      </c>
      <c r="I3">
        <f t="shared" ref="I3:I6" si="1">E3</f>
        <v>365</v>
      </c>
      <c r="J3" s="10">
        <v>77</v>
      </c>
    </row>
    <row r="4" spans="1:10" x14ac:dyDescent="0.2">
      <c r="A4">
        <v>2021</v>
      </c>
      <c r="B4" s="10">
        <v>314</v>
      </c>
      <c r="C4" s="2">
        <v>44197</v>
      </c>
      <c r="D4" s="2">
        <v>44561</v>
      </c>
      <c r="E4">
        <f t="shared" si="0"/>
        <v>365</v>
      </c>
      <c r="F4" s="4" t="s">
        <v>8</v>
      </c>
      <c r="G4" s="4" t="s">
        <v>8</v>
      </c>
      <c r="H4">
        <f>0</f>
        <v>0</v>
      </c>
      <c r="I4">
        <f t="shared" si="1"/>
        <v>365</v>
      </c>
      <c r="J4" s="10">
        <v>83</v>
      </c>
    </row>
    <row r="5" spans="1:10" x14ac:dyDescent="0.2">
      <c r="A5">
        <v>2020</v>
      </c>
      <c r="B5" s="10">
        <v>327</v>
      </c>
      <c r="C5" s="2">
        <v>43831</v>
      </c>
      <c r="D5" s="2">
        <v>44196</v>
      </c>
      <c r="E5">
        <f t="shared" si="0"/>
        <v>366</v>
      </c>
      <c r="F5" s="4" t="s">
        <v>8</v>
      </c>
      <c r="G5" s="4" t="s">
        <v>8</v>
      </c>
      <c r="H5">
        <f>0</f>
        <v>0</v>
      </c>
      <c r="I5">
        <f t="shared" si="1"/>
        <v>366</v>
      </c>
      <c r="J5" s="10">
        <v>96</v>
      </c>
    </row>
    <row r="6" spans="1:10" x14ac:dyDescent="0.2">
      <c r="A6">
        <v>2019</v>
      </c>
      <c r="B6" s="10">
        <v>311</v>
      </c>
      <c r="C6" s="2">
        <v>43466</v>
      </c>
      <c r="D6" s="2">
        <v>43830</v>
      </c>
      <c r="E6">
        <f t="shared" si="0"/>
        <v>365</v>
      </c>
      <c r="F6" s="4" t="s">
        <v>8</v>
      </c>
      <c r="G6" s="4" t="s">
        <v>8</v>
      </c>
      <c r="H6">
        <f>0</f>
        <v>0</v>
      </c>
      <c r="I6">
        <f t="shared" si="1"/>
        <v>365</v>
      </c>
      <c r="J6" s="10">
        <v>78</v>
      </c>
    </row>
    <row r="7" spans="1:10" x14ac:dyDescent="0.2">
      <c r="A7">
        <v>2018</v>
      </c>
      <c r="B7" s="10">
        <v>286</v>
      </c>
      <c r="C7" s="2">
        <v>43101</v>
      </c>
      <c r="D7" s="2">
        <v>43465</v>
      </c>
      <c r="E7">
        <f t="shared" si="0"/>
        <v>365</v>
      </c>
      <c r="F7" s="4" t="s">
        <v>8</v>
      </c>
      <c r="G7" s="4" t="s">
        <v>8</v>
      </c>
      <c r="H7">
        <f>0</f>
        <v>0</v>
      </c>
      <c r="I7">
        <f>E7</f>
        <v>365</v>
      </c>
      <c r="J7" s="10">
        <v>147</v>
      </c>
    </row>
    <row r="8" spans="1:10" x14ac:dyDescent="0.2">
      <c r="A8">
        <v>2017</v>
      </c>
      <c r="B8" s="10">
        <v>347</v>
      </c>
      <c r="C8" s="2">
        <v>42736</v>
      </c>
      <c r="D8" s="2">
        <v>43100</v>
      </c>
      <c r="E8">
        <f t="shared" si="0"/>
        <v>365</v>
      </c>
      <c r="F8" s="4" t="s">
        <v>8</v>
      </c>
      <c r="G8" s="2">
        <v>42850</v>
      </c>
      <c r="H8">
        <f>G8-C8+0.5</f>
        <v>114.5</v>
      </c>
      <c r="I8">
        <f>D8-G8+0.5</f>
        <v>250.5</v>
      </c>
      <c r="J8" s="10">
        <v>138</v>
      </c>
    </row>
    <row r="9" spans="1:10" x14ac:dyDescent="0.2">
      <c r="A9">
        <v>2016</v>
      </c>
      <c r="B9" s="10">
        <v>377</v>
      </c>
      <c r="C9" s="2">
        <v>42370</v>
      </c>
      <c r="D9" s="2">
        <v>42735</v>
      </c>
      <c r="E9">
        <f>D9-C9+1</f>
        <v>366</v>
      </c>
      <c r="F9" s="4" t="s">
        <v>8</v>
      </c>
      <c r="G9" s="4" t="s">
        <v>8</v>
      </c>
      <c r="H9">
        <f>E9</f>
        <v>366</v>
      </c>
      <c r="I9">
        <v>0</v>
      </c>
      <c r="J9" s="10">
        <v>113</v>
      </c>
    </row>
    <row r="10" spans="1:10" x14ac:dyDescent="0.2">
      <c r="A10">
        <v>2015</v>
      </c>
      <c r="B10" s="10">
        <v>382</v>
      </c>
      <c r="C10" s="2">
        <v>42005</v>
      </c>
      <c r="D10" s="2">
        <v>42369</v>
      </c>
      <c r="E10">
        <f>D10-C10+1</f>
        <v>365</v>
      </c>
      <c r="F10" s="4" t="s">
        <v>8</v>
      </c>
      <c r="G10" s="4" t="s">
        <v>8</v>
      </c>
      <c r="H10">
        <f>E10</f>
        <v>365</v>
      </c>
      <c r="I10">
        <v>0</v>
      </c>
      <c r="J10" s="10">
        <v>54</v>
      </c>
    </row>
    <row r="11" spans="1:10" x14ac:dyDescent="0.2">
      <c r="A11">
        <v>2014</v>
      </c>
      <c r="B11" s="10">
        <v>333</v>
      </c>
      <c r="C11" s="2">
        <v>41640</v>
      </c>
      <c r="D11" s="2">
        <v>42004</v>
      </c>
      <c r="E11">
        <f t="shared" ref="E11:E30" si="2">D11-C11+1</f>
        <v>365</v>
      </c>
      <c r="F11" s="2">
        <v>41905</v>
      </c>
      <c r="G11" s="4" t="s">
        <v>8</v>
      </c>
      <c r="H11">
        <f>D11-F11+0.5</f>
        <v>99.5</v>
      </c>
      <c r="I11">
        <f>F11-C11+0.5</f>
        <v>265.5</v>
      </c>
      <c r="J11" s="10">
        <v>49</v>
      </c>
    </row>
    <row r="12" spans="1:10" x14ac:dyDescent="0.2">
      <c r="A12">
        <v>2013</v>
      </c>
      <c r="B12" s="10">
        <v>306</v>
      </c>
      <c r="C12" s="2">
        <v>41275</v>
      </c>
      <c r="D12" s="2">
        <v>41639</v>
      </c>
      <c r="E12">
        <f t="shared" si="2"/>
        <v>365</v>
      </c>
      <c r="F12" s="4" t="s">
        <v>8</v>
      </c>
      <c r="G12" s="4" t="s">
        <v>8</v>
      </c>
      <c r="H12">
        <v>0</v>
      </c>
      <c r="I12">
        <v>365</v>
      </c>
      <c r="J12" s="10">
        <v>95</v>
      </c>
    </row>
    <row r="13" spans="1:10" x14ac:dyDescent="0.2">
      <c r="A13">
        <v>2012</v>
      </c>
      <c r="B13" s="10">
        <v>277</v>
      </c>
      <c r="C13" s="2">
        <v>40909</v>
      </c>
      <c r="D13" s="2">
        <v>41274</v>
      </c>
      <c r="E13">
        <f t="shared" si="2"/>
        <v>366</v>
      </c>
      <c r="F13" s="4" t="s">
        <v>8</v>
      </c>
      <c r="G13" s="2">
        <v>41182</v>
      </c>
      <c r="H13">
        <f>G13-C13</f>
        <v>273</v>
      </c>
      <c r="I13">
        <f>D13-G13+1</f>
        <v>93</v>
      </c>
      <c r="J13" s="10">
        <v>109</v>
      </c>
    </row>
    <row r="14" spans="1:10" x14ac:dyDescent="0.2">
      <c r="A14">
        <v>2011</v>
      </c>
      <c r="B14" s="10">
        <v>343</v>
      </c>
      <c r="C14" s="2">
        <v>40544</v>
      </c>
      <c r="D14" s="2">
        <v>40908</v>
      </c>
      <c r="E14">
        <f t="shared" si="2"/>
        <v>365</v>
      </c>
      <c r="F14" s="4" t="s">
        <v>8</v>
      </c>
      <c r="G14" s="5" t="s">
        <v>8</v>
      </c>
      <c r="H14">
        <f>E14</f>
        <v>365</v>
      </c>
      <c r="I14">
        <v>0</v>
      </c>
      <c r="J14" s="10">
        <v>37</v>
      </c>
    </row>
    <row r="15" spans="1:10" x14ac:dyDescent="0.2">
      <c r="A15">
        <v>2010</v>
      </c>
      <c r="B15" s="10">
        <v>343</v>
      </c>
      <c r="C15" s="2">
        <v>40179</v>
      </c>
      <c r="D15" s="2">
        <v>40543</v>
      </c>
      <c r="E15">
        <f t="shared" si="2"/>
        <v>365</v>
      </c>
      <c r="F15" s="5" t="s">
        <v>8</v>
      </c>
      <c r="G15" s="4" t="s">
        <v>8</v>
      </c>
      <c r="H15">
        <f>E15</f>
        <v>365</v>
      </c>
      <c r="I15">
        <v>0</v>
      </c>
      <c r="J15" s="10">
        <v>40</v>
      </c>
    </row>
    <row r="16" spans="1:10" x14ac:dyDescent="0.2">
      <c r="A16">
        <v>2009</v>
      </c>
      <c r="B16" s="10">
        <v>320</v>
      </c>
      <c r="C16" s="2">
        <v>39814</v>
      </c>
      <c r="D16" s="2">
        <v>40178</v>
      </c>
      <c r="E16">
        <f t="shared" si="2"/>
        <v>365</v>
      </c>
      <c r="F16" s="4" t="s">
        <v>8</v>
      </c>
      <c r="G16" s="5" t="s">
        <v>8</v>
      </c>
      <c r="H16">
        <f>E16</f>
        <v>365</v>
      </c>
      <c r="I16">
        <v>0</v>
      </c>
      <c r="J16" s="10">
        <v>35</v>
      </c>
    </row>
    <row r="17" spans="1:10" x14ac:dyDescent="0.2">
      <c r="A17">
        <v>2008</v>
      </c>
      <c r="B17" s="10">
        <v>302</v>
      </c>
      <c r="C17" s="2">
        <v>39448</v>
      </c>
      <c r="D17" s="2">
        <v>39813</v>
      </c>
      <c r="E17">
        <f t="shared" si="2"/>
        <v>366</v>
      </c>
      <c r="F17" s="2">
        <v>39647</v>
      </c>
      <c r="G17" s="2">
        <v>39535</v>
      </c>
      <c r="H17">
        <f>(G17-C17)+(D17-F17)+0.5</f>
        <v>253.5</v>
      </c>
      <c r="I17">
        <f>F17-G17+0.5</f>
        <v>112.5</v>
      </c>
      <c r="J17" s="10">
        <v>57</v>
      </c>
    </row>
    <row r="18" spans="1:10" x14ac:dyDescent="0.2">
      <c r="A18">
        <v>2007</v>
      </c>
      <c r="B18" s="10">
        <v>359</v>
      </c>
      <c r="C18" s="2">
        <v>39083</v>
      </c>
      <c r="D18" s="2">
        <v>39447</v>
      </c>
      <c r="E18">
        <f t="shared" si="2"/>
        <v>365</v>
      </c>
      <c r="F18" s="4" t="s">
        <v>8</v>
      </c>
      <c r="G18" s="4" t="s">
        <v>8</v>
      </c>
      <c r="H18">
        <f t="shared" ref="H18:H30" si="3">E18</f>
        <v>365</v>
      </c>
      <c r="I18">
        <v>0</v>
      </c>
      <c r="J18" s="10">
        <v>63</v>
      </c>
    </row>
    <row r="19" spans="1:10" x14ac:dyDescent="0.2">
      <c r="A19">
        <v>2006</v>
      </c>
      <c r="B19" s="10">
        <v>311</v>
      </c>
      <c r="C19" s="2">
        <v>38718</v>
      </c>
      <c r="D19" s="2">
        <v>39082</v>
      </c>
      <c r="E19">
        <f t="shared" si="2"/>
        <v>365</v>
      </c>
      <c r="F19" s="4" t="s">
        <v>8</v>
      </c>
      <c r="G19" s="4" t="s">
        <v>8</v>
      </c>
      <c r="H19">
        <f t="shared" si="3"/>
        <v>365</v>
      </c>
      <c r="I19">
        <v>0</v>
      </c>
      <c r="J19" s="10">
        <v>44</v>
      </c>
    </row>
    <row r="20" spans="1:10" x14ac:dyDescent="0.2">
      <c r="A20">
        <v>2005</v>
      </c>
      <c r="B20" s="10">
        <v>252</v>
      </c>
      <c r="C20" s="2">
        <v>38353</v>
      </c>
      <c r="D20" s="2">
        <v>38717</v>
      </c>
      <c r="E20">
        <f t="shared" si="2"/>
        <v>365</v>
      </c>
      <c r="F20" s="4" t="s">
        <v>8</v>
      </c>
      <c r="G20" s="4" t="s">
        <v>8</v>
      </c>
      <c r="H20">
        <f t="shared" si="3"/>
        <v>365</v>
      </c>
      <c r="I20">
        <v>0</v>
      </c>
      <c r="J20" s="10">
        <v>41</v>
      </c>
    </row>
    <row r="21" spans="1:10" x14ac:dyDescent="0.2">
      <c r="A21">
        <v>2004</v>
      </c>
      <c r="B21" s="10">
        <v>272</v>
      </c>
      <c r="C21" s="2">
        <v>37987</v>
      </c>
      <c r="D21" s="2">
        <v>38352</v>
      </c>
      <c r="E21">
        <f t="shared" si="2"/>
        <v>366</v>
      </c>
      <c r="F21" s="4" t="s">
        <v>8</v>
      </c>
      <c r="G21" s="4" t="s">
        <v>8</v>
      </c>
      <c r="H21">
        <f t="shared" si="3"/>
        <v>366</v>
      </c>
      <c r="I21">
        <v>0</v>
      </c>
      <c r="J21" s="10">
        <v>29</v>
      </c>
    </row>
    <row r="22" spans="1:10" x14ac:dyDescent="0.2">
      <c r="A22">
        <v>2003</v>
      </c>
      <c r="B22" s="10">
        <v>234</v>
      </c>
      <c r="C22" s="2">
        <v>37622</v>
      </c>
      <c r="D22" s="2">
        <v>37986</v>
      </c>
      <c r="E22">
        <f t="shared" si="2"/>
        <v>365</v>
      </c>
      <c r="F22" s="4" t="s">
        <v>8</v>
      </c>
      <c r="G22" s="4" t="s">
        <v>8</v>
      </c>
      <c r="H22">
        <f t="shared" si="3"/>
        <v>365</v>
      </c>
      <c r="I22">
        <v>0</v>
      </c>
      <c r="J22" s="10">
        <v>18</v>
      </c>
    </row>
    <row r="23" spans="1:10" x14ac:dyDescent="0.2">
      <c r="A23">
        <v>2002</v>
      </c>
      <c r="B23" s="10">
        <v>217</v>
      </c>
      <c r="C23" s="2">
        <v>37257</v>
      </c>
      <c r="D23" s="2">
        <v>37621</v>
      </c>
      <c r="E23">
        <f t="shared" si="2"/>
        <v>365</v>
      </c>
      <c r="F23" s="4" t="s">
        <v>8</v>
      </c>
      <c r="G23" s="4" t="s">
        <v>8</v>
      </c>
      <c r="H23">
        <f t="shared" si="3"/>
        <v>365</v>
      </c>
      <c r="I23">
        <v>0</v>
      </c>
      <c r="J23" s="10">
        <v>6</v>
      </c>
    </row>
    <row r="24" spans="1:10" x14ac:dyDescent="0.2">
      <c r="A24">
        <v>2001</v>
      </c>
      <c r="B24" s="10">
        <v>189</v>
      </c>
      <c r="C24" s="2">
        <v>36892</v>
      </c>
      <c r="D24" s="2">
        <v>37256</v>
      </c>
      <c r="E24">
        <f t="shared" si="2"/>
        <v>365</v>
      </c>
      <c r="F24" s="4" t="s">
        <v>8</v>
      </c>
      <c r="G24" s="4" t="s">
        <v>8</v>
      </c>
      <c r="H24">
        <f t="shared" si="3"/>
        <v>365</v>
      </c>
      <c r="I24">
        <v>0</v>
      </c>
      <c r="J24" s="10">
        <v>4</v>
      </c>
    </row>
    <row r="25" spans="1:10" x14ac:dyDescent="0.2">
      <c r="A25">
        <v>2000</v>
      </c>
      <c r="B25" s="10">
        <v>153</v>
      </c>
      <c r="C25" s="2">
        <v>36526</v>
      </c>
      <c r="D25" s="2">
        <v>36891</v>
      </c>
      <c r="E25">
        <f t="shared" si="2"/>
        <v>366</v>
      </c>
      <c r="F25" s="4" t="s">
        <v>8</v>
      </c>
      <c r="G25" s="4" t="s">
        <v>8</v>
      </c>
      <c r="H25">
        <f t="shared" si="3"/>
        <v>366</v>
      </c>
      <c r="I25">
        <v>0</v>
      </c>
      <c r="J25" s="10">
        <v>2</v>
      </c>
    </row>
    <row r="26" spans="1:10" x14ac:dyDescent="0.2">
      <c r="A26">
        <v>1999</v>
      </c>
      <c r="B26" s="10">
        <v>107</v>
      </c>
      <c r="C26" s="2">
        <v>36161</v>
      </c>
      <c r="D26" s="2">
        <v>36525</v>
      </c>
      <c r="E26">
        <f t="shared" si="2"/>
        <v>365</v>
      </c>
      <c r="F26" s="4" t="s">
        <v>8</v>
      </c>
      <c r="G26" s="4" t="s">
        <v>8</v>
      </c>
      <c r="H26">
        <f t="shared" si="3"/>
        <v>365</v>
      </c>
      <c r="I26">
        <v>0</v>
      </c>
      <c r="J26" s="10">
        <v>1</v>
      </c>
    </row>
    <row r="27" spans="1:10" x14ac:dyDescent="0.2">
      <c r="A27">
        <v>1998</v>
      </c>
      <c r="B27" s="10">
        <v>112</v>
      </c>
      <c r="C27" s="2">
        <v>35796</v>
      </c>
      <c r="D27" s="2">
        <v>36160</v>
      </c>
      <c r="E27">
        <f t="shared" si="2"/>
        <v>365</v>
      </c>
      <c r="F27" s="4" t="s">
        <v>8</v>
      </c>
      <c r="G27" s="4" t="s">
        <v>8</v>
      </c>
      <c r="H27">
        <f t="shared" si="3"/>
        <v>365</v>
      </c>
      <c r="I27">
        <v>0</v>
      </c>
      <c r="J27" s="10">
        <v>3</v>
      </c>
    </row>
    <row r="28" spans="1:10" x14ac:dyDescent="0.2">
      <c r="A28">
        <v>1997</v>
      </c>
      <c r="B28" s="10">
        <v>86</v>
      </c>
      <c r="C28" s="2">
        <v>35431</v>
      </c>
      <c r="D28" s="2">
        <v>35795</v>
      </c>
      <c r="E28">
        <f t="shared" si="2"/>
        <v>365</v>
      </c>
      <c r="F28" s="4" t="s">
        <v>8</v>
      </c>
      <c r="G28" s="4" t="s">
        <v>8</v>
      </c>
      <c r="H28">
        <f t="shared" si="3"/>
        <v>365</v>
      </c>
      <c r="I28">
        <v>0</v>
      </c>
      <c r="J28" s="10">
        <v>2</v>
      </c>
    </row>
    <row r="29" spans="1:10" x14ac:dyDescent="0.2">
      <c r="A29">
        <v>1996</v>
      </c>
      <c r="B29" s="10">
        <v>40</v>
      </c>
      <c r="C29" s="2">
        <v>35065</v>
      </c>
      <c r="D29" s="2">
        <v>35430</v>
      </c>
      <c r="E29">
        <f t="shared" si="2"/>
        <v>366</v>
      </c>
      <c r="F29" s="4" t="s">
        <v>8</v>
      </c>
      <c r="G29" s="4" t="s">
        <v>8</v>
      </c>
      <c r="H29">
        <f t="shared" si="3"/>
        <v>366</v>
      </c>
      <c r="I29">
        <v>0</v>
      </c>
      <c r="J29" s="10">
        <v>0</v>
      </c>
    </row>
    <row r="30" spans="1:10" x14ac:dyDescent="0.2">
      <c r="A30">
        <v>1995</v>
      </c>
      <c r="B30" s="10">
        <v>21</v>
      </c>
      <c r="C30" s="2">
        <v>34700</v>
      </c>
      <c r="D30" s="2">
        <v>35064</v>
      </c>
      <c r="E30">
        <f t="shared" si="2"/>
        <v>365</v>
      </c>
      <c r="F30" s="4" t="s">
        <v>8</v>
      </c>
      <c r="G30" s="4" t="s">
        <v>8</v>
      </c>
      <c r="H30">
        <f t="shared" si="3"/>
        <v>365</v>
      </c>
      <c r="I30">
        <v>0</v>
      </c>
      <c r="J30" s="10">
        <v>0</v>
      </c>
    </row>
  </sheetData>
  <pageMargins left="0.7" right="0.7" top="0.75" bottom="0.75" header="0.3" footer="0.3"/>
  <pageSetup paperSize="9" orientation="portrait" horizontalDpi="0" verticalDpi="0"/>
  <ignoredErrors>
    <ignoredError sqref="H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1128-3D44-A344-8AFF-3E951138192E}">
  <dimension ref="A1:J30"/>
  <sheetViews>
    <sheetView workbookViewId="0">
      <selection activeCell="G14" sqref="G1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/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3">
        <v>141</v>
      </c>
      <c r="C3" s="2">
        <v>44562</v>
      </c>
      <c r="D3" s="2">
        <v>44926</v>
      </c>
      <c r="E3">
        <f t="shared" ref="E3:E9" si="0">D3-C3+1</f>
        <v>365</v>
      </c>
      <c r="F3" s="4" t="s">
        <v>8</v>
      </c>
      <c r="G3" s="4" t="s">
        <v>8</v>
      </c>
      <c r="H3">
        <v>0</v>
      </c>
      <c r="I3">
        <f t="shared" ref="I3:I12" si="1">E3</f>
        <v>365</v>
      </c>
      <c r="J3">
        <f>9+11</f>
        <v>20</v>
      </c>
    </row>
    <row r="4" spans="1:10" x14ac:dyDescent="0.2">
      <c r="A4">
        <v>2021</v>
      </c>
      <c r="B4" s="3">
        <v>145</v>
      </c>
      <c r="C4" s="2">
        <v>44197</v>
      </c>
      <c r="D4" s="2">
        <v>44561</v>
      </c>
      <c r="E4">
        <f t="shared" si="0"/>
        <v>365</v>
      </c>
      <c r="F4" s="4" t="s">
        <v>8</v>
      </c>
      <c r="G4" s="4" t="s">
        <v>8</v>
      </c>
      <c r="H4">
        <v>0</v>
      </c>
      <c r="I4">
        <f t="shared" si="1"/>
        <v>365</v>
      </c>
      <c r="J4">
        <f>22+2</f>
        <v>24</v>
      </c>
    </row>
    <row r="5" spans="1:10" x14ac:dyDescent="0.2">
      <c r="A5">
        <v>2020</v>
      </c>
      <c r="B5" s="3">
        <v>128</v>
      </c>
      <c r="C5" s="2">
        <v>43831</v>
      </c>
      <c r="D5" s="2">
        <v>44196</v>
      </c>
      <c r="E5">
        <f t="shared" si="0"/>
        <v>366</v>
      </c>
      <c r="F5" s="4" t="s">
        <v>8</v>
      </c>
      <c r="G5" s="4" t="s">
        <v>8</v>
      </c>
      <c r="H5">
        <v>0</v>
      </c>
      <c r="I5">
        <f t="shared" si="1"/>
        <v>366</v>
      </c>
      <c r="J5">
        <f>8+4</f>
        <v>12</v>
      </c>
    </row>
    <row r="6" spans="1:10" x14ac:dyDescent="0.2">
      <c r="A6">
        <v>2019</v>
      </c>
      <c r="B6" s="3">
        <v>109</v>
      </c>
      <c r="C6" s="2">
        <v>43466</v>
      </c>
      <c r="D6" s="2">
        <v>43830</v>
      </c>
      <c r="E6">
        <f t="shared" si="0"/>
        <v>365</v>
      </c>
      <c r="F6" s="4" t="s">
        <v>8</v>
      </c>
      <c r="G6" s="4" t="s">
        <v>8</v>
      </c>
      <c r="H6">
        <v>0</v>
      </c>
      <c r="I6">
        <f t="shared" si="1"/>
        <v>365</v>
      </c>
      <c r="J6">
        <f>6+12</f>
        <v>18</v>
      </c>
    </row>
    <row r="7" spans="1:10" x14ac:dyDescent="0.2">
      <c r="A7">
        <v>2018</v>
      </c>
      <c r="B7" s="3">
        <v>92</v>
      </c>
      <c r="C7" s="2">
        <v>43101</v>
      </c>
      <c r="D7" s="2">
        <v>43465</v>
      </c>
      <c r="E7">
        <f t="shared" si="0"/>
        <v>365</v>
      </c>
      <c r="F7" s="4" t="s">
        <v>8</v>
      </c>
      <c r="G7" s="4" t="s">
        <v>8</v>
      </c>
      <c r="H7">
        <v>0</v>
      </c>
      <c r="I7">
        <f t="shared" si="1"/>
        <v>365</v>
      </c>
      <c r="J7">
        <f>6+4</f>
        <v>10</v>
      </c>
    </row>
    <row r="8" spans="1:10" x14ac:dyDescent="0.2">
      <c r="A8">
        <v>2017</v>
      </c>
      <c r="B8" s="3">
        <v>94</v>
      </c>
      <c r="C8" s="2">
        <v>42736</v>
      </c>
      <c r="D8" s="2">
        <v>43100</v>
      </c>
      <c r="E8">
        <f t="shared" si="0"/>
        <v>365</v>
      </c>
      <c r="F8" s="4" t="s">
        <v>8</v>
      </c>
      <c r="G8" s="4" t="s">
        <v>8</v>
      </c>
      <c r="H8">
        <v>0</v>
      </c>
      <c r="I8">
        <f t="shared" si="1"/>
        <v>365</v>
      </c>
      <c r="J8">
        <f>3+5</f>
        <v>8</v>
      </c>
    </row>
    <row r="9" spans="1:10" x14ac:dyDescent="0.2">
      <c r="A9">
        <v>2016</v>
      </c>
      <c r="B9" s="3">
        <v>86</v>
      </c>
      <c r="C9" s="2">
        <v>42370</v>
      </c>
      <c r="D9" s="2">
        <v>42735</v>
      </c>
      <c r="E9">
        <f t="shared" si="0"/>
        <v>366</v>
      </c>
      <c r="F9" s="4" t="s">
        <v>8</v>
      </c>
      <c r="G9" s="4" t="s">
        <v>8</v>
      </c>
      <c r="H9">
        <v>0</v>
      </c>
      <c r="I9">
        <f t="shared" si="1"/>
        <v>366</v>
      </c>
      <c r="J9">
        <f>3+7</f>
        <v>10</v>
      </c>
    </row>
    <row r="10" spans="1:10" x14ac:dyDescent="0.2">
      <c r="A10">
        <v>2015</v>
      </c>
      <c r="B10" s="3">
        <v>68</v>
      </c>
      <c r="C10" s="2">
        <v>42005</v>
      </c>
      <c r="D10" s="2">
        <v>42369</v>
      </c>
      <c r="E10">
        <f>D10-C10+1</f>
        <v>365</v>
      </c>
      <c r="F10" s="4" t="s">
        <v>8</v>
      </c>
      <c r="G10" s="4" t="s">
        <v>8</v>
      </c>
      <c r="H10">
        <v>0</v>
      </c>
      <c r="I10">
        <f t="shared" si="1"/>
        <v>365</v>
      </c>
      <c r="J10">
        <f>3+0</f>
        <v>3</v>
      </c>
    </row>
    <row r="11" spans="1:10" x14ac:dyDescent="0.2">
      <c r="A11">
        <v>2014</v>
      </c>
      <c r="B11" s="3">
        <v>48</v>
      </c>
      <c r="C11" s="2">
        <v>41640</v>
      </c>
      <c r="D11" s="2">
        <v>42004</v>
      </c>
      <c r="E11">
        <f t="shared" ref="E11:E16" si="2">D11-C11+1</f>
        <v>365</v>
      </c>
      <c r="F11" s="4" t="s">
        <v>8</v>
      </c>
      <c r="G11" s="4" t="s">
        <v>8</v>
      </c>
      <c r="H11">
        <v>0</v>
      </c>
      <c r="I11">
        <f t="shared" si="1"/>
        <v>365</v>
      </c>
      <c r="J11">
        <f>1</f>
        <v>1</v>
      </c>
    </row>
    <row r="12" spans="1:10" x14ac:dyDescent="0.2">
      <c r="A12">
        <v>2013</v>
      </c>
      <c r="B12" s="3">
        <v>38</v>
      </c>
      <c r="C12" s="2">
        <v>41275</v>
      </c>
      <c r="D12" s="2">
        <v>41639</v>
      </c>
      <c r="E12">
        <f t="shared" si="2"/>
        <v>365</v>
      </c>
      <c r="F12" s="4" t="s">
        <v>8</v>
      </c>
      <c r="G12" s="4" t="s">
        <v>8</v>
      </c>
      <c r="H12">
        <v>0</v>
      </c>
      <c r="I12">
        <f t="shared" si="1"/>
        <v>365</v>
      </c>
      <c r="J12">
        <f>1</f>
        <v>1</v>
      </c>
    </row>
    <row r="13" spans="1:10" x14ac:dyDescent="0.2">
      <c r="A13">
        <v>2012</v>
      </c>
      <c r="B13" s="3">
        <v>43</v>
      </c>
      <c r="C13" s="2">
        <v>40909</v>
      </c>
      <c r="D13" s="2">
        <v>41274</v>
      </c>
      <c r="E13">
        <f t="shared" si="2"/>
        <v>366</v>
      </c>
      <c r="F13" s="4" t="s">
        <v>8</v>
      </c>
      <c r="G13" s="4" t="s">
        <v>8</v>
      </c>
      <c r="H13">
        <v>0</v>
      </c>
      <c r="I13">
        <f>E13</f>
        <v>366</v>
      </c>
      <c r="J13">
        <f>7</f>
        <v>7</v>
      </c>
    </row>
    <row r="14" spans="1:10" x14ac:dyDescent="0.2">
      <c r="A14">
        <v>2011</v>
      </c>
      <c r="B14" s="3">
        <v>18</v>
      </c>
      <c r="C14" s="2">
        <v>40544</v>
      </c>
      <c r="D14" s="2">
        <v>40908</v>
      </c>
      <c r="E14">
        <f t="shared" si="2"/>
        <v>365</v>
      </c>
      <c r="F14" s="4" t="s">
        <v>8</v>
      </c>
      <c r="G14" s="2">
        <v>40668</v>
      </c>
      <c r="H14">
        <f>G14-C14</f>
        <v>124</v>
      </c>
      <c r="I14">
        <f>D14-G14+1</f>
        <v>241</v>
      </c>
      <c r="J14">
        <v>0</v>
      </c>
    </row>
    <row r="15" spans="1:10" x14ac:dyDescent="0.2">
      <c r="A15">
        <v>2010</v>
      </c>
      <c r="B15" s="3">
        <v>16</v>
      </c>
      <c r="C15" s="2">
        <v>40179</v>
      </c>
      <c r="D15" s="2">
        <v>40543</v>
      </c>
      <c r="E15">
        <f t="shared" si="2"/>
        <v>365</v>
      </c>
      <c r="F15" s="2">
        <v>40395</v>
      </c>
      <c r="G15" s="4" t="s">
        <v>8</v>
      </c>
      <c r="H15">
        <f>D15-F15+0.5</f>
        <v>148.5</v>
      </c>
      <c r="I15">
        <f>F15-C15+0.5</f>
        <v>216.5</v>
      </c>
      <c r="J15">
        <v>0</v>
      </c>
    </row>
    <row r="16" spans="1:10" x14ac:dyDescent="0.2">
      <c r="A16">
        <v>2009</v>
      </c>
      <c r="B16" s="3">
        <v>5</v>
      </c>
      <c r="C16" s="2">
        <v>39814</v>
      </c>
      <c r="D16" s="2">
        <v>40178</v>
      </c>
      <c r="E16">
        <f t="shared" si="2"/>
        <v>365</v>
      </c>
      <c r="F16" s="4" t="s">
        <v>8</v>
      </c>
      <c r="G16" s="2">
        <v>39937</v>
      </c>
      <c r="H16">
        <f>G16-C16</f>
        <v>123</v>
      </c>
      <c r="I16">
        <f>D16-G16+1</f>
        <v>242</v>
      </c>
      <c r="J16">
        <v>0</v>
      </c>
    </row>
    <row r="17" spans="2:10" x14ac:dyDescent="0.2">
      <c r="B17" s="3"/>
      <c r="C17" s="2"/>
      <c r="D17" s="2"/>
      <c r="F17" s="2"/>
      <c r="G17" s="2"/>
      <c r="J17" s="4"/>
    </row>
    <row r="18" spans="2:10" x14ac:dyDescent="0.2">
      <c r="B18" s="3"/>
      <c r="C18" s="2"/>
      <c r="D18" s="2"/>
      <c r="J18" s="4"/>
    </row>
    <row r="19" spans="2:10" x14ac:dyDescent="0.2">
      <c r="B19" s="3"/>
      <c r="C19" s="2"/>
      <c r="D19" s="2"/>
      <c r="J19" s="4"/>
    </row>
    <row r="20" spans="2:10" x14ac:dyDescent="0.2">
      <c r="B20" s="3"/>
      <c r="C20" s="2"/>
      <c r="D20" s="2"/>
      <c r="J20" s="4"/>
    </row>
    <row r="21" spans="2:10" x14ac:dyDescent="0.2">
      <c r="B21" s="3"/>
      <c r="C21" s="2"/>
      <c r="D21" s="2"/>
      <c r="J21" s="4"/>
    </row>
    <row r="22" spans="2:10" x14ac:dyDescent="0.2">
      <c r="B22" s="3"/>
      <c r="C22" s="2"/>
      <c r="D22" s="2"/>
      <c r="J22" s="4"/>
    </row>
    <row r="23" spans="2:10" x14ac:dyDescent="0.2">
      <c r="B23" s="3"/>
      <c r="C23" s="2"/>
      <c r="D23" s="2"/>
      <c r="J23" s="4"/>
    </row>
    <row r="24" spans="2:10" x14ac:dyDescent="0.2">
      <c r="B24" s="3"/>
      <c r="C24" s="2"/>
      <c r="D24" s="2"/>
      <c r="J24" s="4"/>
    </row>
    <row r="25" spans="2:10" x14ac:dyDescent="0.2">
      <c r="B25" s="3"/>
      <c r="C25" s="2"/>
      <c r="D25" s="2"/>
      <c r="J25" s="4"/>
    </row>
    <row r="26" spans="2:10" x14ac:dyDescent="0.2">
      <c r="B26" s="3"/>
      <c r="C26" s="2"/>
      <c r="D26" s="2"/>
      <c r="J26" s="4"/>
    </row>
    <row r="27" spans="2:10" x14ac:dyDescent="0.2">
      <c r="B27" s="3"/>
      <c r="C27" s="2"/>
      <c r="D27" s="2"/>
      <c r="J27" s="4"/>
    </row>
    <row r="28" spans="2:10" x14ac:dyDescent="0.2">
      <c r="B28" s="3"/>
      <c r="C28" s="2"/>
      <c r="D28" s="2"/>
      <c r="J28" s="4"/>
    </row>
    <row r="29" spans="2:10" x14ac:dyDescent="0.2">
      <c r="B29" s="3"/>
      <c r="C29" s="2"/>
      <c r="D29" s="2"/>
      <c r="J29" s="4"/>
    </row>
    <row r="30" spans="2:10" x14ac:dyDescent="0.2">
      <c r="B30" s="3"/>
      <c r="C30" s="2"/>
      <c r="D30" s="2"/>
      <c r="J30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4BA5-519C-8748-80CE-710A83271F01}">
  <dimension ref="A1:J16"/>
  <sheetViews>
    <sheetView workbookViewId="0">
      <selection activeCell="J3" sqref="J3:J16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/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3">
        <v>140</v>
      </c>
      <c r="C3" s="2">
        <v>44562</v>
      </c>
      <c r="D3" s="2">
        <v>44926</v>
      </c>
      <c r="E3">
        <f t="shared" ref="E3:E9" si="0">D3-C3+1</f>
        <v>365</v>
      </c>
      <c r="F3" s="4" t="s">
        <v>8</v>
      </c>
      <c r="G3" s="4" t="s">
        <v>8</v>
      </c>
      <c r="H3">
        <v>0</v>
      </c>
      <c r="I3">
        <f t="shared" ref="I3:I12" si="1">E3</f>
        <v>365</v>
      </c>
      <c r="J3" s="10">
        <v>7</v>
      </c>
    </row>
    <row r="4" spans="1:10" x14ac:dyDescent="0.2">
      <c r="A4">
        <v>2021</v>
      </c>
      <c r="B4" s="3">
        <v>145</v>
      </c>
      <c r="C4" s="2">
        <v>44197</v>
      </c>
      <c r="D4" s="2">
        <v>44561</v>
      </c>
      <c r="E4">
        <f t="shared" si="0"/>
        <v>365</v>
      </c>
      <c r="F4" s="4" t="s">
        <v>8</v>
      </c>
      <c r="G4" s="4" t="s">
        <v>8</v>
      </c>
      <c r="H4">
        <v>0</v>
      </c>
      <c r="I4">
        <f t="shared" si="1"/>
        <v>365</v>
      </c>
      <c r="J4" s="10">
        <v>9</v>
      </c>
    </row>
    <row r="5" spans="1:10" x14ac:dyDescent="0.2">
      <c r="A5">
        <v>2020</v>
      </c>
      <c r="B5" s="3">
        <v>136</v>
      </c>
      <c r="C5" s="2">
        <v>43831</v>
      </c>
      <c r="D5" s="2">
        <v>44196</v>
      </c>
      <c r="E5">
        <f t="shared" si="0"/>
        <v>366</v>
      </c>
      <c r="F5" s="4" t="s">
        <v>8</v>
      </c>
      <c r="G5" s="4" t="s">
        <v>8</v>
      </c>
      <c r="H5">
        <v>0</v>
      </c>
      <c r="I5">
        <f t="shared" si="1"/>
        <v>366</v>
      </c>
      <c r="J5" s="10">
        <v>1</v>
      </c>
    </row>
    <row r="6" spans="1:10" x14ac:dyDescent="0.2">
      <c r="A6">
        <v>2019</v>
      </c>
      <c r="B6" s="3">
        <v>129</v>
      </c>
      <c r="C6" s="2">
        <v>43466</v>
      </c>
      <c r="D6" s="2">
        <v>43830</v>
      </c>
      <c r="E6">
        <f t="shared" si="0"/>
        <v>365</v>
      </c>
      <c r="F6" s="4" t="s">
        <v>8</v>
      </c>
      <c r="G6" s="4" t="s">
        <v>8</v>
      </c>
      <c r="H6">
        <v>0</v>
      </c>
      <c r="I6">
        <f t="shared" si="1"/>
        <v>365</v>
      </c>
      <c r="J6" s="10">
        <v>1</v>
      </c>
    </row>
    <row r="7" spans="1:10" x14ac:dyDescent="0.2">
      <c r="A7">
        <v>2018</v>
      </c>
      <c r="B7" s="3">
        <v>122</v>
      </c>
      <c r="C7" s="2">
        <v>43101</v>
      </c>
      <c r="D7" s="2">
        <v>43465</v>
      </c>
      <c r="E7">
        <f t="shared" si="0"/>
        <v>365</v>
      </c>
      <c r="F7" s="4" t="s">
        <v>8</v>
      </c>
      <c r="G7" s="4" t="s">
        <v>8</v>
      </c>
      <c r="H7">
        <v>0</v>
      </c>
      <c r="I7">
        <f t="shared" si="1"/>
        <v>365</v>
      </c>
      <c r="J7" s="10">
        <v>3</v>
      </c>
    </row>
    <row r="8" spans="1:10" x14ac:dyDescent="0.2">
      <c r="A8">
        <v>2017</v>
      </c>
      <c r="B8" s="3">
        <v>110</v>
      </c>
      <c r="C8" s="2">
        <v>42736</v>
      </c>
      <c r="D8" s="2">
        <v>43100</v>
      </c>
      <c r="E8">
        <f t="shared" si="0"/>
        <v>365</v>
      </c>
      <c r="F8" s="4" t="s">
        <v>8</v>
      </c>
      <c r="G8" s="4" t="s">
        <v>8</v>
      </c>
      <c r="H8">
        <v>0</v>
      </c>
      <c r="I8">
        <f t="shared" si="1"/>
        <v>365</v>
      </c>
      <c r="J8" s="10">
        <v>5</v>
      </c>
    </row>
    <row r="9" spans="1:10" x14ac:dyDescent="0.2">
      <c r="A9">
        <v>2016</v>
      </c>
      <c r="B9" s="3">
        <v>100</v>
      </c>
      <c r="C9" s="2">
        <v>42370</v>
      </c>
      <c r="D9" s="2">
        <v>42735</v>
      </c>
      <c r="E9">
        <f t="shared" si="0"/>
        <v>366</v>
      </c>
      <c r="F9" s="4" t="s">
        <v>8</v>
      </c>
      <c r="G9" s="4" t="s">
        <v>8</v>
      </c>
      <c r="H9">
        <v>0</v>
      </c>
      <c r="I9">
        <f t="shared" si="1"/>
        <v>366</v>
      </c>
      <c r="J9" s="10">
        <v>5</v>
      </c>
    </row>
    <row r="10" spans="1:10" x14ac:dyDescent="0.2">
      <c r="A10">
        <v>2015</v>
      </c>
      <c r="B10" s="3">
        <v>100</v>
      </c>
      <c r="C10" s="2">
        <v>42005</v>
      </c>
      <c r="D10" s="2">
        <v>42369</v>
      </c>
      <c r="E10">
        <f>D10-C10+1</f>
        <v>365</v>
      </c>
      <c r="F10" s="4" t="s">
        <v>8</v>
      </c>
      <c r="G10" s="4" t="s">
        <v>8</v>
      </c>
      <c r="H10">
        <v>0</v>
      </c>
      <c r="I10">
        <f t="shared" si="1"/>
        <v>365</v>
      </c>
      <c r="J10" s="10">
        <v>0</v>
      </c>
    </row>
    <row r="11" spans="1:10" x14ac:dyDescent="0.2">
      <c r="A11">
        <v>2014</v>
      </c>
      <c r="B11" s="3">
        <v>74</v>
      </c>
      <c r="C11" s="2">
        <v>41640</v>
      </c>
      <c r="D11" s="2">
        <v>42004</v>
      </c>
      <c r="E11">
        <f t="shared" ref="E11:E16" si="2">D11-C11+1</f>
        <v>365</v>
      </c>
      <c r="F11" s="4" t="s">
        <v>8</v>
      </c>
      <c r="G11" s="4" t="s">
        <v>8</v>
      </c>
      <c r="H11">
        <v>0</v>
      </c>
      <c r="I11">
        <f t="shared" si="1"/>
        <v>365</v>
      </c>
      <c r="J11" s="10">
        <v>0</v>
      </c>
    </row>
    <row r="12" spans="1:10" x14ac:dyDescent="0.2">
      <c r="A12">
        <v>2013</v>
      </c>
      <c r="B12" s="3">
        <v>61</v>
      </c>
      <c r="C12" s="2">
        <v>41275</v>
      </c>
      <c r="D12" s="2">
        <v>41639</v>
      </c>
      <c r="E12">
        <f t="shared" si="2"/>
        <v>365</v>
      </c>
      <c r="F12" s="4" t="s">
        <v>8</v>
      </c>
      <c r="G12" s="4" t="s">
        <v>8</v>
      </c>
      <c r="H12">
        <v>0</v>
      </c>
      <c r="I12">
        <f t="shared" si="1"/>
        <v>365</v>
      </c>
      <c r="J12" s="10">
        <v>0</v>
      </c>
    </row>
    <row r="13" spans="1:10" x14ac:dyDescent="0.2">
      <c r="A13">
        <v>2012</v>
      </c>
      <c r="B13" s="3">
        <v>46</v>
      </c>
      <c r="C13" s="2">
        <v>40909</v>
      </c>
      <c r="D13" s="2">
        <v>41274</v>
      </c>
      <c r="E13">
        <f t="shared" si="2"/>
        <v>366</v>
      </c>
      <c r="F13" s="4" t="s">
        <v>8</v>
      </c>
      <c r="G13" s="4" t="s">
        <v>8</v>
      </c>
      <c r="H13">
        <v>0</v>
      </c>
      <c r="I13">
        <f>E13</f>
        <v>366</v>
      </c>
      <c r="J13" s="10">
        <v>0</v>
      </c>
    </row>
    <row r="14" spans="1:10" x14ac:dyDescent="0.2">
      <c r="A14">
        <v>2011</v>
      </c>
      <c r="B14" s="3">
        <v>29</v>
      </c>
      <c r="C14" s="2">
        <v>40544</v>
      </c>
      <c r="D14" s="2">
        <v>40908</v>
      </c>
      <c r="E14">
        <f t="shared" si="2"/>
        <v>365</v>
      </c>
      <c r="F14" s="4" t="s">
        <v>8</v>
      </c>
      <c r="G14" s="2">
        <v>40668</v>
      </c>
      <c r="H14">
        <f>G14-C14</f>
        <v>124</v>
      </c>
      <c r="I14">
        <f>D14-G14+1</f>
        <v>241</v>
      </c>
      <c r="J14" s="10">
        <v>2</v>
      </c>
    </row>
    <row r="15" spans="1:10" x14ac:dyDescent="0.2">
      <c r="A15">
        <v>2010</v>
      </c>
      <c r="B15" s="3">
        <v>21</v>
      </c>
      <c r="C15" s="2">
        <v>40179</v>
      </c>
      <c r="D15" s="2">
        <v>40543</v>
      </c>
      <c r="E15">
        <f t="shared" si="2"/>
        <v>365</v>
      </c>
      <c r="F15" s="2">
        <v>40395</v>
      </c>
      <c r="G15" s="4" t="s">
        <v>8</v>
      </c>
      <c r="H15">
        <f>D15-F15+0.5</f>
        <v>148.5</v>
      </c>
      <c r="I15">
        <f>F15-C15+0.5</f>
        <v>216.5</v>
      </c>
      <c r="J15" s="10">
        <v>0</v>
      </c>
    </row>
    <row r="16" spans="1:10" x14ac:dyDescent="0.2">
      <c r="A16">
        <v>2009</v>
      </c>
      <c r="B16" s="3">
        <v>14</v>
      </c>
      <c r="C16" s="2">
        <v>39814</v>
      </c>
      <c r="D16" s="2">
        <v>40178</v>
      </c>
      <c r="E16">
        <f t="shared" si="2"/>
        <v>365</v>
      </c>
      <c r="F16" s="4" t="s">
        <v>8</v>
      </c>
      <c r="G16" s="2">
        <v>39937</v>
      </c>
      <c r="H16">
        <f>G16-C16</f>
        <v>123</v>
      </c>
      <c r="I16">
        <f>D16-G16+1</f>
        <v>242</v>
      </c>
      <c r="J16" s="10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9912-CB5A-A14A-96E9-EE99CDE28593}">
  <dimension ref="A1:J16"/>
  <sheetViews>
    <sheetView tabSelected="1" workbookViewId="0">
      <selection activeCell="B5" sqref="B5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/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3">
        <v>51</v>
      </c>
      <c r="C3" s="2">
        <v>44562</v>
      </c>
      <c r="D3" s="2">
        <v>44926</v>
      </c>
      <c r="E3">
        <f t="shared" ref="E3:E9" si="0">D3-C3+1</f>
        <v>365</v>
      </c>
      <c r="F3" s="2">
        <v>44602</v>
      </c>
      <c r="G3" s="4" t="s">
        <v>8</v>
      </c>
      <c r="H3">
        <f>D3-F3+0.5</f>
        <v>324.5</v>
      </c>
      <c r="I3">
        <f>F3-C3+0.5</f>
        <v>40.5</v>
      </c>
      <c r="J3">
        <v>0</v>
      </c>
    </row>
    <row r="4" spans="1:10" x14ac:dyDescent="0.2">
      <c r="A4">
        <v>2021</v>
      </c>
      <c r="B4" s="3">
        <v>38</v>
      </c>
      <c r="C4" s="2">
        <v>44197</v>
      </c>
      <c r="D4" s="2">
        <v>44561</v>
      </c>
      <c r="E4">
        <f t="shared" si="0"/>
        <v>365</v>
      </c>
      <c r="F4" s="4" t="s">
        <v>8</v>
      </c>
      <c r="G4" s="2">
        <v>44200</v>
      </c>
      <c r="H4">
        <f>G4-C4</f>
        <v>3</v>
      </c>
      <c r="I4">
        <f>D4-G4+1</f>
        <v>362</v>
      </c>
      <c r="J4">
        <v>0</v>
      </c>
    </row>
    <row r="5" spans="1:10" x14ac:dyDescent="0.2">
      <c r="A5">
        <v>2020</v>
      </c>
      <c r="B5" s="3">
        <v>30</v>
      </c>
      <c r="C5" s="2">
        <v>43831</v>
      </c>
      <c r="D5" s="2">
        <v>44196</v>
      </c>
      <c r="E5">
        <f t="shared" si="0"/>
        <v>366</v>
      </c>
      <c r="F5" s="4" t="s">
        <v>8</v>
      </c>
      <c r="G5" s="4" t="s">
        <v>8</v>
      </c>
      <c r="H5">
        <f t="shared" ref="H5:H16" si="1">E5</f>
        <v>366</v>
      </c>
      <c r="I5">
        <v>0</v>
      </c>
      <c r="J5">
        <v>0</v>
      </c>
    </row>
    <row r="6" spans="1:10" x14ac:dyDescent="0.2">
      <c r="A6">
        <v>2019</v>
      </c>
      <c r="B6" s="3">
        <v>20</v>
      </c>
      <c r="C6" s="2">
        <v>43466</v>
      </c>
      <c r="D6" s="2">
        <v>43830</v>
      </c>
      <c r="E6">
        <f t="shared" si="0"/>
        <v>365</v>
      </c>
      <c r="F6" s="4" t="s">
        <v>8</v>
      </c>
      <c r="G6" s="4" t="s">
        <v>8</v>
      </c>
      <c r="H6">
        <f t="shared" si="1"/>
        <v>365</v>
      </c>
      <c r="I6">
        <v>0</v>
      </c>
      <c r="J6">
        <v>0</v>
      </c>
    </row>
    <row r="7" spans="1:10" x14ac:dyDescent="0.2">
      <c r="A7">
        <v>2018</v>
      </c>
      <c r="B7" s="3">
        <v>20</v>
      </c>
      <c r="C7" s="2">
        <v>43101</v>
      </c>
      <c r="D7" s="2">
        <v>43465</v>
      </c>
      <c r="E7">
        <f t="shared" si="0"/>
        <v>365</v>
      </c>
      <c r="F7" s="4" t="s">
        <v>8</v>
      </c>
      <c r="G7" s="4" t="s">
        <v>8</v>
      </c>
      <c r="H7">
        <f t="shared" si="1"/>
        <v>365</v>
      </c>
      <c r="I7">
        <v>0</v>
      </c>
      <c r="J7">
        <v>0</v>
      </c>
    </row>
    <row r="8" spans="1:10" x14ac:dyDescent="0.2">
      <c r="A8">
        <v>2017</v>
      </c>
      <c r="B8" s="3">
        <v>14</v>
      </c>
      <c r="C8" s="2">
        <v>42736</v>
      </c>
      <c r="D8" s="2">
        <v>43100</v>
      </c>
      <c r="E8">
        <f t="shared" si="0"/>
        <v>365</v>
      </c>
      <c r="F8" s="4" t="s">
        <v>8</v>
      </c>
      <c r="G8" s="4" t="s">
        <v>8</v>
      </c>
      <c r="H8">
        <f t="shared" si="1"/>
        <v>365</v>
      </c>
      <c r="I8">
        <v>0</v>
      </c>
      <c r="J8">
        <v>0</v>
      </c>
    </row>
    <row r="9" spans="1:10" x14ac:dyDescent="0.2">
      <c r="A9">
        <v>2016</v>
      </c>
      <c r="B9" s="3">
        <v>16</v>
      </c>
      <c r="C9" s="2">
        <v>42370</v>
      </c>
      <c r="D9" s="2">
        <v>42735</v>
      </c>
      <c r="E9">
        <f t="shared" si="0"/>
        <v>366</v>
      </c>
      <c r="F9" s="4" t="s">
        <v>8</v>
      </c>
      <c r="G9" s="4" t="s">
        <v>8</v>
      </c>
      <c r="H9">
        <f t="shared" si="1"/>
        <v>366</v>
      </c>
      <c r="I9">
        <v>0</v>
      </c>
      <c r="J9">
        <v>0</v>
      </c>
    </row>
    <row r="10" spans="1:10" x14ac:dyDescent="0.2">
      <c r="A10">
        <v>2015</v>
      </c>
      <c r="B10" s="3">
        <v>12</v>
      </c>
      <c r="C10" s="2">
        <v>42005</v>
      </c>
      <c r="D10" s="2">
        <v>42369</v>
      </c>
      <c r="E10">
        <f>D10-C10+1</f>
        <v>365</v>
      </c>
      <c r="F10" s="4" t="s">
        <v>8</v>
      </c>
      <c r="G10" s="4" t="s">
        <v>8</v>
      </c>
      <c r="H10">
        <f t="shared" si="1"/>
        <v>365</v>
      </c>
      <c r="I10">
        <v>0</v>
      </c>
      <c r="J10">
        <v>0</v>
      </c>
    </row>
    <row r="11" spans="1:10" x14ac:dyDescent="0.2">
      <c r="A11">
        <v>2014</v>
      </c>
      <c r="B11" s="3">
        <v>11</v>
      </c>
      <c r="C11" s="2">
        <v>41640</v>
      </c>
      <c r="D11" s="2">
        <v>42004</v>
      </c>
      <c r="E11">
        <f t="shared" ref="E11:E16" si="2">D11-C11+1</f>
        <v>365</v>
      </c>
      <c r="F11" s="4" t="s">
        <v>8</v>
      </c>
      <c r="G11" s="4" t="s">
        <v>8</v>
      </c>
      <c r="H11">
        <f t="shared" si="1"/>
        <v>365</v>
      </c>
      <c r="I11">
        <v>0</v>
      </c>
      <c r="J11">
        <v>0</v>
      </c>
    </row>
    <row r="12" spans="1:10" x14ac:dyDescent="0.2">
      <c r="A12">
        <v>2013</v>
      </c>
      <c r="B12" s="3">
        <v>14</v>
      </c>
      <c r="C12" s="2">
        <v>41275</v>
      </c>
      <c r="D12" s="2">
        <v>41639</v>
      </c>
      <c r="E12">
        <f t="shared" si="2"/>
        <v>365</v>
      </c>
      <c r="F12" s="4" t="s">
        <v>8</v>
      </c>
      <c r="G12" s="4" t="s">
        <v>8</v>
      </c>
      <c r="H12">
        <f t="shared" si="1"/>
        <v>365</v>
      </c>
      <c r="I12">
        <v>0</v>
      </c>
      <c r="J12">
        <v>0</v>
      </c>
    </row>
    <row r="13" spans="1:10" x14ac:dyDescent="0.2">
      <c r="A13">
        <v>2012</v>
      </c>
      <c r="B13" s="3">
        <v>8</v>
      </c>
      <c r="C13" s="2">
        <v>40909</v>
      </c>
      <c r="D13" s="2">
        <v>41274</v>
      </c>
      <c r="E13">
        <f t="shared" si="2"/>
        <v>366</v>
      </c>
      <c r="F13" s="4" t="s">
        <v>8</v>
      </c>
      <c r="G13" s="4" t="s">
        <v>8</v>
      </c>
      <c r="H13">
        <f t="shared" si="1"/>
        <v>366</v>
      </c>
      <c r="I13">
        <v>0</v>
      </c>
      <c r="J13">
        <v>0</v>
      </c>
    </row>
    <row r="14" spans="1:10" x14ac:dyDescent="0.2">
      <c r="A14">
        <v>2011</v>
      </c>
      <c r="B14" s="3">
        <v>9</v>
      </c>
      <c r="C14" s="2">
        <v>40544</v>
      </c>
      <c r="D14" s="2">
        <v>40908</v>
      </c>
      <c r="E14">
        <f t="shared" si="2"/>
        <v>365</v>
      </c>
      <c r="F14" s="4" t="s">
        <v>8</v>
      </c>
      <c r="G14" s="5" t="s">
        <v>8</v>
      </c>
      <c r="H14">
        <f t="shared" si="1"/>
        <v>365</v>
      </c>
      <c r="I14">
        <v>0</v>
      </c>
      <c r="J14">
        <v>0</v>
      </c>
    </row>
    <row r="15" spans="1:10" x14ac:dyDescent="0.2">
      <c r="A15">
        <v>2010</v>
      </c>
      <c r="B15" s="3">
        <v>3</v>
      </c>
      <c r="C15" s="2">
        <v>40179</v>
      </c>
      <c r="D15" s="2">
        <v>40543</v>
      </c>
      <c r="E15">
        <f t="shared" si="2"/>
        <v>365</v>
      </c>
      <c r="F15" s="5" t="s">
        <v>8</v>
      </c>
      <c r="G15" s="4" t="s">
        <v>8</v>
      </c>
      <c r="H15">
        <f t="shared" si="1"/>
        <v>365</v>
      </c>
      <c r="I15">
        <v>0</v>
      </c>
      <c r="J15">
        <v>0</v>
      </c>
    </row>
    <row r="16" spans="1:10" x14ac:dyDescent="0.2">
      <c r="A16">
        <v>2009</v>
      </c>
      <c r="B16" s="3">
        <v>7</v>
      </c>
      <c r="C16" s="2">
        <v>39814</v>
      </c>
      <c r="D16" s="2">
        <v>40178</v>
      </c>
      <c r="E16">
        <f t="shared" si="2"/>
        <v>365</v>
      </c>
      <c r="F16" s="4" t="s">
        <v>8</v>
      </c>
      <c r="G16" s="5" t="s">
        <v>8</v>
      </c>
      <c r="H16">
        <f t="shared" si="1"/>
        <v>365</v>
      </c>
      <c r="I16">
        <v>0</v>
      </c>
      <c r="J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23CA-C5BF-FC49-9A7D-1B5BC87D15CC}">
  <dimension ref="A1:J16"/>
  <sheetViews>
    <sheetView workbookViewId="0">
      <selection activeCell="I16" sqref="I16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/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3">
        <v>38</v>
      </c>
      <c r="C3" s="2">
        <v>44562</v>
      </c>
      <c r="D3" s="2">
        <v>44926</v>
      </c>
      <c r="E3">
        <f t="shared" ref="E3:E9" si="0">D3-C3+1</f>
        <v>365</v>
      </c>
      <c r="F3" s="2">
        <v>44602</v>
      </c>
      <c r="G3" s="4" t="s">
        <v>8</v>
      </c>
      <c r="H3">
        <f>D3-F3+0.5</f>
        <v>324.5</v>
      </c>
      <c r="I3">
        <f>F3-C3+0.5</f>
        <v>40.5</v>
      </c>
      <c r="J3">
        <v>0</v>
      </c>
    </row>
    <row r="4" spans="1:10" x14ac:dyDescent="0.2">
      <c r="A4">
        <v>2021</v>
      </c>
      <c r="B4" s="3">
        <v>30</v>
      </c>
      <c r="C4" s="2">
        <v>44197</v>
      </c>
      <c r="D4" s="2">
        <v>44561</v>
      </c>
      <c r="E4">
        <f t="shared" si="0"/>
        <v>365</v>
      </c>
      <c r="F4" s="4" t="s">
        <v>8</v>
      </c>
      <c r="G4" s="2">
        <v>44200</v>
      </c>
      <c r="H4">
        <f>G4-C4</f>
        <v>3</v>
      </c>
      <c r="I4">
        <f>D4-G4+1</f>
        <v>362</v>
      </c>
      <c r="J4">
        <v>0</v>
      </c>
    </row>
    <row r="5" spans="1:10" x14ac:dyDescent="0.2">
      <c r="A5">
        <v>2020</v>
      </c>
      <c r="B5" s="3">
        <v>37</v>
      </c>
      <c r="C5" s="2">
        <v>43831</v>
      </c>
      <c r="D5" s="2">
        <v>44196</v>
      </c>
      <c r="E5">
        <f t="shared" si="0"/>
        <v>366</v>
      </c>
      <c r="F5" s="4" t="s">
        <v>8</v>
      </c>
      <c r="G5" s="4" t="s">
        <v>8</v>
      </c>
      <c r="H5">
        <f t="shared" ref="H5:H12" si="1">E5</f>
        <v>366</v>
      </c>
      <c r="I5">
        <v>0</v>
      </c>
      <c r="J5">
        <v>0</v>
      </c>
    </row>
    <row r="6" spans="1:10" x14ac:dyDescent="0.2">
      <c r="A6">
        <v>2019</v>
      </c>
      <c r="B6" s="3">
        <v>29</v>
      </c>
      <c r="C6" s="2">
        <v>43466</v>
      </c>
      <c r="D6" s="2">
        <v>43830</v>
      </c>
      <c r="E6">
        <f t="shared" si="0"/>
        <v>365</v>
      </c>
      <c r="F6" s="4" t="s">
        <v>8</v>
      </c>
      <c r="G6" s="4" t="s">
        <v>8</v>
      </c>
      <c r="H6">
        <f t="shared" si="1"/>
        <v>365</v>
      </c>
      <c r="I6">
        <v>0</v>
      </c>
      <c r="J6">
        <v>0</v>
      </c>
    </row>
    <row r="7" spans="1:10" x14ac:dyDescent="0.2">
      <c r="A7">
        <v>2018</v>
      </c>
      <c r="B7" s="3">
        <v>15</v>
      </c>
      <c r="C7" s="2">
        <v>43101</v>
      </c>
      <c r="D7" s="2">
        <v>43465</v>
      </c>
      <c r="E7">
        <f t="shared" si="0"/>
        <v>365</v>
      </c>
      <c r="F7" s="4" t="s">
        <v>8</v>
      </c>
      <c r="G7" s="4" t="s">
        <v>8</v>
      </c>
      <c r="H7">
        <f t="shared" si="1"/>
        <v>365</v>
      </c>
      <c r="I7">
        <v>0</v>
      </c>
      <c r="J7">
        <v>0</v>
      </c>
    </row>
    <row r="8" spans="1:10" x14ac:dyDescent="0.2">
      <c r="A8">
        <v>2017</v>
      </c>
      <c r="B8" s="3">
        <v>14</v>
      </c>
      <c r="C8" s="2">
        <v>42736</v>
      </c>
      <c r="D8" s="2">
        <v>43100</v>
      </c>
      <c r="E8">
        <f t="shared" si="0"/>
        <v>365</v>
      </c>
      <c r="F8" s="4" t="s">
        <v>8</v>
      </c>
      <c r="G8" s="4" t="s">
        <v>8</v>
      </c>
      <c r="H8">
        <f t="shared" si="1"/>
        <v>365</v>
      </c>
      <c r="I8">
        <v>0</v>
      </c>
      <c r="J8">
        <v>0</v>
      </c>
    </row>
    <row r="9" spans="1:10" x14ac:dyDescent="0.2">
      <c r="A9">
        <v>2016</v>
      </c>
      <c r="B9" s="3">
        <v>12</v>
      </c>
      <c r="C9" s="2">
        <v>42370</v>
      </c>
      <c r="D9" s="2">
        <v>42735</v>
      </c>
      <c r="E9">
        <f t="shared" si="0"/>
        <v>366</v>
      </c>
      <c r="F9" s="4" t="s">
        <v>8</v>
      </c>
      <c r="G9" s="4" t="s">
        <v>8</v>
      </c>
      <c r="H9">
        <f t="shared" si="1"/>
        <v>366</v>
      </c>
      <c r="I9">
        <v>0</v>
      </c>
      <c r="J9">
        <v>0</v>
      </c>
    </row>
    <row r="10" spans="1:10" x14ac:dyDescent="0.2">
      <c r="A10">
        <v>2015</v>
      </c>
      <c r="B10" s="3">
        <v>10</v>
      </c>
      <c r="C10" s="2">
        <v>42005</v>
      </c>
      <c r="D10" s="2">
        <v>42369</v>
      </c>
      <c r="E10">
        <f>D10-C10+1</f>
        <v>365</v>
      </c>
      <c r="F10" s="4" t="s">
        <v>8</v>
      </c>
      <c r="G10" s="4" t="s">
        <v>8</v>
      </c>
      <c r="H10">
        <f t="shared" si="1"/>
        <v>365</v>
      </c>
      <c r="I10">
        <v>0</v>
      </c>
      <c r="J10">
        <v>0</v>
      </c>
    </row>
    <row r="11" spans="1:10" x14ac:dyDescent="0.2">
      <c r="A11">
        <v>2014</v>
      </c>
      <c r="B11" s="3">
        <v>7</v>
      </c>
      <c r="C11" s="2">
        <v>41640</v>
      </c>
      <c r="D11" s="2">
        <v>42004</v>
      </c>
      <c r="E11">
        <f t="shared" ref="E11:E12" si="2">D11-C11+1</f>
        <v>365</v>
      </c>
      <c r="F11" s="4" t="s">
        <v>8</v>
      </c>
      <c r="G11" s="4" t="s">
        <v>8</v>
      </c>
      <c r="H11">
        <f t="shared" si="1"/>
        <v>365</v>
      </c>
      <c r="I11">
        <v>0</v>
      </c>
      <c r="J11">
        <v>0</v>
      </c>
    </row>
    <row r="12" spans="1:10" x14ac:dyDescent="0.2">
      <c r="A12">
        <v>2013</v>
      </c>
      <c r="B12" s="3">
        <v>3</v>
      </c>
      <c r="C12" s="2">
        <v>41275</v>
      </c>
      <c r="D12" s="2">
        <v>41639</v>
      </c>
      <c r="E12">
        <f t="shared" si="2"/>
        <v>365</v>
      </c>
      <c r="F12" s="4" t="s">
        <v>8</v>
      </c>
      <c r="G12" s="4" t="s">
        <v>8</v>
      </c>
      <c r="H12">
        <f t="shared" si="1"/>
        <v>365</v>
      </c>
      <c r="I12">
        <v>0</v>
      </c>
      <c r="J12">
        <v>0</v>
      </c>
    </row>
    <row r="13" spans="1:10" x14ac:dyDescent="0.2">
      <c r="B13" s="3"/>
      <c r="C13" s="2"/>
      <c r="D13" s="2"/>
      <c r="F13" s="4"/>
      <c r="G13" s="4"/>
      <c r="J13" s="4"/>
    </row>
    <row r="14" spans="1:10" x14ac:dyDescent="0.2">
      <c r="B14" s="3"/>
      <c r="C14" s="2"/>
      <c r="D14" s="2"/>
      <c r="F14" s="4"/>
      <c r="G14" s="5"/>
      <c r="J14" s="4"/>
    </row>
    <row r="15" spans="1:10" x14ac:dyDescent="0.2">
      <c r="B15" s="3"/>
      <c r="C15" s="2"/>
      <c r="D15" s="2"/>
      <c r="F15" s="5"/>
      <c r="G15" s="4"/>
      <c r="J15" s="4"/>
    </row>
    <row r="16" spans="1:10" x14ac:dyDescent="0.2">
      <c r="B16" s="3"/>
      <c r="C16" s="2"/>
      <c r="D16" s="2"/>
      <c r="F16" s="4"/>
      <c r="G16" s="5"/>
      <c r="J1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8AA4-64DC-5542-ADE0-41B029A59847}">
  <dimension ref="A1:J45"/>
  <sheetViews>
    <sheetView workbookViewId="0">
      <selection activeCell="K19" sqref="K19"/>
    </sheetView>
  </sheetViews>
  <sheetFormatPr baseColWidth="10" defaultRowHeight="16" x14ac:dyDescent="0.2"/>
  <sheetData>
    <row r="1" spans="1:10" x14ac:dyDescent="0.2">
      <c r="A1" s="17" t="s">
        <v>0</v>
      </c>
      <c r="B1" s="17" t="s">
        <v>9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10</v>
      </c>
    </row>
    <row r="2" spans="1:10" x14ac:dyDescent="0.2">
      <c r="A2">
        <v>2022</v>
      </c>
      <c r="B2" s="16">
        <v>1007</v>
      </c>
      <c r="C2" s="2">
        <v>44666</v>
      </c>
      <c r="D2" s="2">
        <v>45030</v>
      </c>
      <c r="E2">
        <v>365</v>
      </c>
      <c r="F2" s="11" t="s">
        <v>8</v>
      </c>
      <c r="G2" s="11" t="s">
        <v>8</v>
      </c>
      <c r="H2">
        <v>365</v>
      </c>
      <c r="I2">
        <v>0</v>
      </c>
      <c r="J2" s="10">
        <v>0</v>
      </c>
    </row>
    <row r="3" spans="1:10" x14ac:dyDescent="0.2">
      <c r="A3">
        <v>2021</v>
      </c>
      <c r="B3" s="16">
        <v>972</v>
      </c>
      <c r="C3" s="2">
        <v>44301</v>
      </c>
      <c r="D3" s="2">
        <v>44665</v>
      </c>
      <c r="E3">
        <v>365</v>
      </c>
      <c r="F3" s="2">
        <v>44602</v>
      </c>
      <c r="G3" s="11" t="s">
        <v>8</v>
      </c>
      <c r="H3">
        <v>63.5</v>
      </c>
      <c r="I3">
        <v>301.5</v>
      </c>
      <c r="J3" s="10">
        <v>65</v>
      </c>
    </row>
    <row r="4" spans="1:10" x14ac:dyDescent="0.2">
      <c r="A4">
        <v>2020</v>
      </c>
      <c r="B4" s="16">
        <v>908</v>
      </c>
      <c r="C4" s="2">
        <v>43936</v>
      </c>
      <c r="D4" s="2">
        <v>44300</v>
      </c>
      <c r="E4">
        <v>365</v>
      </c>
      <c r="F4" s="11" t="s">
        <v>8</v>
      </c>
      <c r="G4" s="2">
        <v>44200</v>
      </c>
      <c r="H4">
        <v>264</v>
      </c>
      <c r="I4">
        <v>101</v>
      </c>
      <c r="J4" s="10">
        <v>228</v>
      </c>
    </row>
    <row r="5" spans="1:10" x14ac:dyDescent="0.2">
      <c r="A5">
        <v>2019</v>
      </c>
      <c r="B5" s="15">
        <v>1034</v>
      </c>
      <c r="C5" s="2">
        <v>43570</v>
      </c>
      <c r="D5" s="2">
        <v>43935</v>
      </c>
      <c r="E5">
        <v>366</v>
      </c>
      <c r="F5" s="11" t="s">
        <v>8</v>
      </c>
      <c r="G5" s="11" t="s">
        <v>8</v>
      </c>
      <c r="H5">
        <v>366</v>
      </c>
      <c r="I5">
        <v>0</v>
      </c>
      <c r="J5" s="10">
        <v>0</v>
      </c>
    </row>
    <row r="6" spans="1:10" x14ac:dyDescent="0.2">
      <c r="A6">
        <v>2018</v>
      </c>
      <c r="B6" s="15">
        <v>914</v>
      </c>
      <c r="C6" s="2">
        <v>43205</v>
      </c>
      <c r="D6" s="2">
        <v>43569</v>
      </c>
      <c r="E6">
        <v>365</v>
      </c>
      <c r="F6" s="11" t="s">
        <v>8</v>
      </c>
      <c r="G6" s="11" t="s">
        <v>8</v>
      </c>
      <c r="H6">
        <v>365</v>
      </c>
      <c r="I6">
        <v>0</v>
      </c>
      <c r="J6" s="10">
        <v>0</v>
      </c>
    </row>
    <row r="7" spans="1:10" x14ac:dyDescent="0.2">
      <c r="A7">
        <v>2017</v>
      </c>
      <c r="B7" s="15">
        <v>905</v>
      </c>
      <c r="C7" s="2">
        <v>42840</v>
      </c>
      <c r="D7" s="2">
        <v>43204</v>
      </c>
      <c r="E7">
        <v>365</v>
      </c>
      <c r="F7" s="11" t="s">
        <v>8</v>
      </c>
      <c r="G7" s="11" t="s">
        <v>8</v>
      </c>
      <c r="H7">
        <v>365</v>
      </c>
      <c r="I7">
        <v>0</v>
      </c>
      <c r="J7" s="10">
        <v>1</v>
      </c>
    </row>
    <row r="8" spans="1:10" x14ac:dyDescent="0.2">
      <c r="A8">
        <v>2016</v>
      </c>
      <c r="B8" s="15">
        <v>925</v>
      </c>
      <c r="C8" s="2">
        <v>42475</v>
      </c>
      <c r="D8" s="2">
        <v>42839</v>
      </c>
      <c r="E8">
        <v>365</v>
      </c>
      <c r="F8" s="11" t="s">
        <v>8</v>
      </c>
      <c r="G8" s="11" t="s">
        <v>8</v>
      </c>
      <c r="H8">
        <v>365</v>
      </c>
      <c r="I8">
        <v>0</v>
      </c>
      <c r="J8" s="10">
        <v>0</v>
      </c>
    </row>
    <row r="9" spans="1:10" x14ac:dyDescent="0.2">
      <c r="A9">
        <v>2015</v>
      </c>
      <c r="B9" s="15">
        <v>866</v>
      </c>
      <c r="C9" s="2">
        <v>42109</v>
      </c>
      <c r="D9" s="2">
        <v>42474</v>
      </c>
      <c r="E9">
        <v>366</v>
      </c>
      <c r="F9" s="11" t="s">
        <v>8</v>
      </c>
      <c r="G9" s="11" t="s">
        <v>8</v>
      </c>
      <c r="H9">
        <v>366</v>
      </c>
      <c r="I9">
        <v>0</v>
      </c>
      <c r="J9" s="10">
        <v>0</v>
      </c>
    </row>
    <row r="10" spans="1:10" x14ac:dyDescent="0.2">
      <c r="A10">
        <v>2014</v>
      </c>
      <c r="B10" s="15">
        <v>746</v>
      </c>
      <c r="C10" s="2">
        <v>41744</v>
      </c>
      <c r="D10" s="2">
        <v>42108</v>
      </c>
      <c r="E10">
        <v>365</v>
      </c>
      <c r="F10" s="2">
        <v>41992</v>
      </c>
      <c r="G10" s="11" t="s">
        <v>8</v>
      </c>
      <c r="H10">
        <v>116.5</v>
      </c>
      <c r="I10">
        <v>248.5</v>
      </c>
      <c r="J10" s="10">
        <v>188</v>
      </c>
    </row>
    <row r="11" spans="1:10" x14ac:dyDescent="0.2">
      <c r="A11">
        <v>2013</v>
      </c>
      <c r="B11" s="15">
        <v>660</v>
      </c>
      <c r="C11" s="2">
        <v>41379</v>
      </c>
      <c r="D11" s="2">
        <v>41743</v>
      </c>
      <c r="E11">
        <v>365</v>
      </c>
      <c r="F11" s="11" t="s">
        <v>8</v>
      </c>
      <c r="G11" s="11" t="s">
        <v>8</v>
      </c>
      <c r="H11">
        <v>0</v>
      </c>
      <c r="I11">
        <v>365</v>
      </c>
      <c r="J11" s="10">
        <v>323</v>
      </c>
    </row>
    <row r="12" spans="1:10" x14ac:dyDescent="0.2">
      <c r="A12">
        <v>2012</v>
      </c>
      <c r="B12" s="15">
        <v>809</v>
      </c>
      <c r="C12" s="2">
        <v>41014</v>
      </c>
      <c r="D12" s="2">
        <v>41378</v>
      </c>
      <c r="E12">
        <v>365</v>
      </c>
      <c r="F12" s="11" t="s">
        <v>8</v>
      </c>
      <c r="G12" s="11" t="s">
        <v>8</v>
      </c>
      <c r="H12">
        <v>0</v>
      </c>
      <c r="I12">
        <v>365</v>
      </c>
      <c r="J12" s="10">
        <v>181</v>
      </c>
    </row>
    <row r="13" spans="1:10" x14ac:dyDescent="0.2">
      <c r="A13">
        <v>2011</v>
      </c>
      <c r="B13" s="6">
        <v>815</v>
      </c>
      <c r="C13" s="2">
        <v>40648</v>
      </c>
      <c r="D13" s="2">
        <v>41013</v>
      </c>
      <c r="E13">
        <v>366</v>
      </c>
      <c r="F13" s="11" t="s">
        <v>8</v>
      </c>
      <c r="G13" s="2">
        <v>40935</v>
      </c>
      <c r="H13">
        <v>287</v>
      </c>
      <c r="I13">
        <v>79</v>
      </c>
      <c r="J13" s="10">
        <v>16</v>
      </c>
    </row>
    <row r="14" spans="1:10" x14ac:dyDescent="0.2">
      <c r="A14">
        <v>2010</v>
      </c>
      <c r="B14" s="6">
        <v>782</v>
      </c>
      <c r="C14" s="2">
        <v>40283</v>
      </c>
      <c r="D14" s="2">
        <v>40647</v>
      </c>
      <c r="E14">
        <v>365</v>
      </c>
      <c r="F14" s="11" t="s">
        <v>8</v>
      </c>
      <c r="G14" s="11" t="s">
        <v>8</v>
      </c>
      <c r="H14">
        <v>365</v>
      </c>
      <c r="I14">
        <v>0</v>
      </c>
      <c r="J14" s="10">
        <v>18</v>
      </c>
    </row>
    <row r="15" spans="1:10" x14ac:dyDescent="0.2">
      <c r="A15">
        <v>2009</v>
      </c>
      <c r="B15" s="6">
        <v>704</v>
      </c>
      <c r="C15" s="2">
        <v>39918</v>
      </c>
      <c r="D15" s="2">
        <v>40282</v>
      </c>
      <c r="E15">
        <v>365</v>
      </c>
      <c r="F15" s="2">
        <v>40072</v>
      </c>
      <c r="G15" s="2">
        <v>39937</v>
      </c>
      <c r="H15">
        <v>229.5</v>
      </c>
      <c r="I15">
        <v>135.5</v>
      </c>
      <c r="J15" s="10">
        <v>11</v>
      </c>
    </row>
    <row r="16" spans="1:10" x14ac:dyDescent="0.2">
      <c r="A16">
        <v>2008</v>
      </c>
      <c r="B16" s="6">
        <v>637</v>
      </c>
      <c r="C16" s="2">
        <v>39553</v>
      </c>
      <c r="D16" s="2">
        <v>39917</v>
      </c>
      <c r="E16">
        <v>365</v>
      </c>
      <c r="F16" s="2">
        <v>39720</v>
      </c>
      <c r="G16" s="11" t="s">
        <v>8</v>
      </c>
      <c r="H16">
        <v>197.5</v>
      </c>
      <c r="I16">
        <v>167.5</v>
      </c>
      <c r="J16" s="10">
        <v>43</v>
      </c>
    </row>
    <row r="17" spans="1:10" x14ac:dyDescent="0.2">
      <c r="A17">
        <v>2007</v>
      </c>
      <c r="B17" s="6">
        <v>549</v>
      </c>
      <c r="C17" s="2">
        <v>39187</v>
      </c>
      <c r="D17" s="2">
        <v>39552</v>
      </c>
      <c r="E17">
        <v>366</v>
      </c>
      <c r="F17" s="11" t="s">
        <v>8</v>
      </c>
      <c r="G17" s="11" t="s">
        <v>8</v>
      </c>
      <c r="H17">
        <v>0</v>
      </c>
      <c r="I17">
        <v>366</v>
      </c>
      <c r="J17" s="10">
        <v>35</v>
      </c>
    </row>
    <row r="18" spans="1:10" x14ac:dyDescent="0.2">
      <c r="A18">
        <v>2006</v>
      </c>
      <c r="B18" s="6">
        <v>546</v>
      </c>
      <c r="C18" s="2">
        <v>38822</v>
      </c>
      <c r="D18" s="2">
        <v>39186</v>
      </c>
      <c r="E18">
        <v>365</v>
      </c>
      <c r="F18" s="11" t="s">
        <v>8</v>
      </c>
      <c r="G18" s="2">
        <v>39153</v>
      </c>
      <c r="H18">
        <v>331</v>
      </c>
      <c r="I18">
        <v>34</v>
      </c>
      <c r="J18" s="10">
        <v>22</v>
      </c>
    </row>
    <row r="19" spans="1:10" x14ac:dyDescent="0.2">
      <c r="A19">
        <v>2005</v>
      </c>
      <c r="B19" s="6">
        <v>467</v>
      </c>
      <c r="C19" s="2">
        <v>38457</v>
      </c>
      <c r="D19" s="2">
        <v>38821</v>
      </c>
      <c r="E19">
        <v>365</v>
      </c>
      <c r="F19" s="11" t="s">
        <v>8</v>
      </c>
      <c r="G19" s="11" t="s">
        <v>8</v>
      </c>
      <c r="H19">
        <v>365</v>
      </c>
      <c r="I19">
        <v>0</v>
      </c>
      <c r="J19" s="10">
        <v>33</v>
      </c>
    </row>
    <row r="20" spans="1:10" x14ac:dyDescent="0.2">
      <c r="A20">
        <v>2004</v>
      </c>
      <c r="B20" s="6">
        <v>435</v>
      </c>
      <c r="C20" s="2">
        <v>38092</v>
      </c>
      <c r="D20" s="2">
        <v>38456</v>
      </c>
      <c r="E20">
        <v>365</v>
      </c>
      <c r="F20" s="11" t="s">
        <v>8</v>
      </c>
      <c r="G20" s="11" t="s">
        <v>8</v>
      </c>
      <c r="H20">
        <v>365</v>
      </c>
      <c r="I20">
        <v>0</v>
      </c>
      <c r="J20" s="10">
        <v>25</v>
      </c>
    </row>
    <row r="21" spans="1:10" x14ac:dyDescent="0.2">
      <c r="A21">
        <v>2003</v>
      </c>
      <c r="B21" s="6">
        <v>373</v>
      </c>
      <c r="C21" s="2">
        <v>37726</v>
      </c>
      <c r="D21" s="2">
        <v>38091</v>
      </c>
      <c r="E21">
        <v>366</v>
      </c>
      <c r="F21" s="11" t="s">
        <v>8</v>
      </c>
      <c r="G21" s="11" t="s">
        <v>8</v>
      </c>
      <c r="H21">
        <v>366</v>
      </c>
      <c r="I21">
        <v>0</v>
      </c>
      <c r="J21" s="10">
        <v>18</v>
      </c>
    </row>
    <row r="22" spans="1:10" x14ac:dyDescent="0.2">
      <c r="A22">
        <v>2002</v>
      </c>
      <c r="B22" s="14">
        <v>335</v>
      </c>
      <c r="C22" s="2">
        <v>37361</v>
      </c>
      <c r="D22" s="2">
        <v>37725</v>
      </c>
      <c r="E22">
        <v>365</v>
      </c>
      <c r="F22" s="11" t="s">
        <v>8</v>
      </c>
      <c r="G22" s="11" t="s">
        <v>8</v>
      </c>
      <c r="H22">
        <v>365</v>
      </c>
      <c r="I22">
        <v>0</v>
      </c>
      <c r="J22" s="10">
        <v>0</v>
      </c>
    </row>
    <row r="23" spans="1:10" x14ac:dyDescent="0.2">
      <c r="A23">
        <v>2001</v>
      </c>
      <c r="B23" s="14">
        <v>327</v>
      </c>
      <c r="C23" s="2">
        <v>36996</v>
      </c>
      <c r="D23" s="2">
        <v>37360</v>
      </c>
      <c r="E23">
        <v>365</v>
      </c>
      <c r="F23" s="11" t="s">
        <v>8</v>
      </c>
      <c r="G23" s="11" t="s">
        <v>8</v>
      </c>
      <c r="H23">
        <v>365</v>
      </c>
      <c r="I23">
        <v>0</v>
      </c>
      <c r="J23" s="10">
        <v>0</v>
      </c>
    </row>
    <row r="24" spans="1:10" x14ac:dyDescent="0.2">
      <c r="A24">
        <v>2000</v>
      </c>
      <c r="B24" s="14">
        <v>257</v>
      </c>
      <c r="C24" s="2">
        <v>36631</v>
      </c>
      <c r="D24" s="2">
        <v>36995</v>
      </c>
      <c r="E24">
        <v>365</v>
      </c>
      <c r="F24" s="11" t="s">
        <v>8</v>
      </c>
      <c r="G24" s="11" t="s">
        <v>8</v>
      </c>
      <c r="H24">
        <v>365</v>
      </c>
      <c r="I24">
        <v>0</v>
      </c>
      <c r="J24" s="10">
        <v>0</v>
      </c>
    </row>
    <row r="25" spans="1:10" x14ac:dyDescent="0.2">
      <c r="A25">
        <v>1999</v>
      </c>
      <c r="B25" s="14">
        <v>248</v>
      </c>
      <c r="C25" s="2">
        <v>36265</v>
      </c>
      <c r="D25" s="2">
        <v>36630</v>
      </c>
      <c r="E25">
        <v>366</v>
      </c>
      <c r="F25" s="11" t="s">
        <v>8</v>
      </c>
      <c r="G25" s="11" t="s">
        <v>8</v>
      </c>
      <c r="H25">
        <v>366</v>
      </c>
      <c r="I25">
        <v>0</v>
      </c>
      <c r="J25" s="10">
        <v>1</v>
      </c>
    </row>
    <row r="26" spans="1:10" x14ac:dyDescent="0.2">
      <c r="A26">
        <v>1998</v>
      </c>
      <c r="B26" s="14">
        <v>204</v>
      </c>
      <c r="C26" s="2">
        <v>35900</v>
      </c>
      <c r="D26" s="2">
        <v>36264</v>
      </c>
      <c r="E26">
        <v>365</v>
      </c>
      <c r="F26" s="11" t="s">
        <v>8</v>
      </c>
      <c r="G26" s="11" t="s">
        <v>8</v>
      </c>
      <c r="H26">
        <v>365</v>
      </c>
      <c r="I26">
        <v>0</v>
      </c>
      <c r="J26" s="10">
        <v>0</v>
      </c>
    </row>
    <row r="27" spans="1:10" x14ac:dyDescent="0.2">
      <c r="A27">
        <v>1997</v>
      </c>
      <c r="B27" s="14">
        <v>178</v>
      </c>
      <c r="C27" s="2">
        <v>35535</v>
      </c>
      <c r="D27" s="2">
        <v>35899</v>
      </c>
      <c r="E27">
        <v>365</v>
      </c>
      <c r="F27" s="11" t="s">
        <v>8</v>
      </c>
      <c r="G27" s="11" t="s">
        <v>8</v>
      </c>
      <c r="H27">
        <v>365</v>
      </c>
      <c r="I27">
        <v>0</v>
      </c>
      <c r="J27" s="10">
        <v>0</v>
      </c>
    </row>
    <row r="28" spans="1:10" x14ac:dyDescent="0.2">
      <c r="A28">
        <v>1996</v>
      </c>
      <c r="B28" s="14">
        <v>148</v>
      </c>
      <c r="C28" s="2">
        <v>35170</v>
      </c>
      <c r="D28" s="2">
        <v>35534</v>
      </c>
      <c r="E28">
        <v>365</v>
      </c>
      <c r="F28" s="11" t="s">
        <v>8</v>
      </c>
      <c r="G28" s="11" t="s">
        <v>8</v>
      </c>
      <c r="H28">
        <v>365</v>
      </c>
      <c r="I28">
        <v>0</v>
      </c>
      <c r="J28" s="10">
        <v>0</v>
      </c>
    </row>
    <row r="29" spans="1:10" x14ac:dyDescent="0.2">
      <c r="A29">
        <v>1995</v>
      </c>
      <c r="B29" s="14">
        <v>99</v>
      </c>
      <c r="C29" s="2">
        <v>34804</v>
      </c>
      <c r="D29" s="2">
        <v>35169</v>
      </c>
      <c r="E29">
        <v>366</v>
      </c>
      <c r="F29" s="11" t="s">
        <v>8</v>
      </c>
      <c r="G29" s="11" t="s">
        <v>8</v>
      </c>
      <c r="H29">
        <v>366</v>
      </c>
      <c r="I29">
        <v>0</v>
      </c>
      <c r="J29" s="10">
        <v>0</v>
      </c>
    </row>
    <row r="30" spans="1:10" x14ac:dyDescent="0.2">
      <c r="A30">
        <v>1994</v>
      </c>
      <c r="B30" s="14">
        <v>83</v>
      </c>
      <c r="C30" s="2">
        <v>34439</v>
      </c>
      <c r="D30" s="2">
        <v>34803</v>
      </c>
      <c r="E30">
        <v>365</v>
      </c>
      <c r="F30" s="11" t="s">
        <v>8</v>
      </c>
      <c r="G30" s="11" t="s">
        <v>8</v>
      </c>
      <c r="H30">
        <v>365</v>
      </c>
      <c r="I30">
        <v>0</v>
      </c>
      <c r="J30" s="10">
        <v>0</v>
      </c>
    </row>
    <row r="31" spans="1:10" x14ac:dyDescent="0.2">
      <c r="A31">
        <v>1993</v>
      </c>
      <c r="B31" s="12">
        <v>54</v>
      </c>
      <c r="C31" s="2">
        <v>34074</v>
      </c>
      <c r="D31" s="2">
        <v>34438</v>
      </c>
      <c r="E31">
        <v>365</v>
      </c>
      <c r="F31" s="11" t="s">
        <v>8</v>
      </c>
      <c r="G31" s="11" t="s">
        <v>8</v>
      </c>
      <c r="H31">
        <v>365</v>
      </c>
      <c r="I31">
        <v>0</v>
      </c>
      <c r="J31" s="10">
        <v>0</v>
      </c>
    </row>
    <row r="32" spans="1:10" x14ac:dyDescent="0.2">
      <c r="A32">
        <v>1992</v>
      </c>
      <c r="B32" s="12">
        <v>40</v>
      </c>
      <c r="C32" s="2">
        <v>33709</v>
      </c>
      <c r="D32" s="2">
        <v>34073</v>
      </c>
      <c r="E32">
        <v>365</v>
      </c>
      <c r="F32" s="11" t="s">
        <v>8</v>
      </c>
      <c r="G32" s="11" t="s">
        <v>8</v>
      </c>
      <c r="H32">
        <v>365</v>
      </c>
      <c r="I32">
        <v>0</v>
      </c>
      <c r="J32" s="10">
        <v>0</v>
      </c>
    </row>
    <row r="33" spans="1:10" x14ac:dyDescent="0.2">
      <c r="A33">
        <v>1991</v>
      </c>
      <c r="B33" s="12">
        <v>45</v>
      </c>
      <c r="C33" s="2">
        <v>33343</v>
      </c>
      <c r="D33" s="2">
        <v>33708</v>
      </c>
      <c r="E33">
        <v>366</v>
      </c>
      <c r="F33" s="11" t="s">
        <v>8</v>
      </c>
      <c r="G33" s="11" t="s">
        <v>8</v>
      </c>
      <c r="H33">
        <v>366</v>
      </c>
      <c r="I33">
        <v>0</v>
      </c>
      <c r="J33" s="10">
        <v>0</v>
      </c>
    </row>
    <row r="34" spans="1:10" x14ac:dyDescent="0.2">
      <c r="A34">
        <v>1990</v>
      </c>
      <c r="B34" s="12">
        <v>39</v>
      </c>
      <c r="C34" s="2">
        <v>32978</v>
      </c>
      <c r="D34" s="2">
        <v>33342</v>
      </c>
      <c r="E34">
        <v>365</v>
      </c>
      <c r="F34" s="11" t="s">
        <v>8</v>
      </c>
      <c r="G34" s="11" t="s">
        <v>8</v>
      </c>
      <c r="H34">
        <v>365</v>
      </c>
      <c r="I34">
        <v>0</v>
      </c>
      <c r="J34" s="10">
        <v>0</v>
      </c>
    </row>
    <row r="35" spans="1:10" x14ac:dyDescent="0.2">
      <c r="A35">
        <v>1989</v>
      </c>
      <c r="B35" s="12">
        <v>34</v>
      </c>
      <c r="C35" s="2">
        <v>32613</v>
      </c>
      <c r="D35" s="2">
        <v>32977</v>
      </c>
      <c r="E35">
        <v>365</v>
      </c>
      <c r="F35" s="11" t="s">
        <v>8</v>
      </c>
      <c r="G35" s="11" t="s">
        <v>8</v>
      </c>
      <c r="H35">
        <v>365</v>
      </c>
      <c r="I35">
        <v>0</v>
      </c>
      <c r="J35" s="10">
        <v>0</v>
      </c>
    </row>
    <row r="36" spans="1:10" x14ac:dyDescent="0.2">
      <c r="A36">
        <v>1988</v>
      </c>
      <c r="B36" s="12">
        <v>31</v>
      </c>
      <c r="C36" s="2">
        <v>32248</v>
      </c>
      <c r="D36" s="2">
        <v>32612</v>
      </c>
      <c r="E36">
        <v>365</v>
      </c>
      <c r="F36" s="11" t="s">
        <v>8</v>
      </c>
      <c r="G36" s="11" t="s">
        <v>8</v>
      </c>
      <c r="H36">
        <v>365</v>
      </c>
      <c r="I36">
        <v>0</v>
      </c>
      <c r="J36" s="10">
        <v>0</v>
      </c>
    </row>
    <row r="37" spans="1:10" x14ac:dyDescent="0.2">
      <c r="A37">
        <v>1987</v>
      </c>
      <c r="B37" s="13">
        <v>27</v>
      </c>
      <c r="C37" s="2">
        <v>31882</v>
      </c>
      <c r="D37" s="2">
        <v>32247</v>
      </c>
      <c r="E37">
        <v>366</v>
      </c>
      <c r="F37" s="11" t="s">
        <v>8</v>
      </c>
      <c r="G37" s="11" t="s">
        <v>8</v>
      </c>
      <c r="H37">
        <v>366</v>
      </c>
      <c r="I37">
        <v>0</v>
      </c>
      <c r="J37" s="10">
        <v>0</v>
      </c>
    </row>
    <row r="38" spans="1:10" x14ac:dyDescent="0.2">
      <c r="A38">
        <v>1986</v>
      </c>
      <c r="B38" s="13">
        <v>18</v>
      </c>
      <c r="C38" s="2">
        <v>31517</v>
      </c>
      <c r="D38" s="2">
        <v>31881</v>
      </c>
      <c r="E38">
        <v>365</v>
      </c>
      <c r="F38" s="11" t="s">
        <v>8</v>
      </c>
      <c r="G38" s="11" t="s">
        <v>8</v>
      </c>
      <c r="H38">
        <v>365</v>
      </c>
      <c r="I38">
        <v>0</v>
      </c>
      <c r="J38" s="10">
        <v>0</v>
      </c>
    </row>
    <row r="39" spans="1:10" x14ac:dyDescent="0.2">
      <c r="A39">
        <v>1985</v>
      </c>
      <c r="B39" s="13">
        <v>15</v>
      </c>
      <c r="C39" s="2">
        <v>31152</v>
      </c>
      <c r="D39" s="2">
        <v>31516</v>
      </c>
      <c r="E39">
        <v>365</v>
      </c>
      <c r="F39" s="11" t="s">
        <v>8</v>
      </c>
      <c r="G39" s="11" t="s">
        <v>8</v>
      </c>
      <c r="H39">
        <v>365</v>
      </c>
      <c r="I39">
        <v>0</v>
      </c>
      <c r="J39" s="10">
        <v>0</v>
      </c>
    </row>
    <row r="40" spans="1:10" x14ac:dyDescent="0.2">
      <c r="A40">
        <v>1984</v>
      </c>
      <c r="B40" s="13">
        <v>14</v>
      </c>
      <c r="C40" s="2">
        <v>30787</v>
      </c>
      <c r="D40" s="2">
        <v>31151</v>
      </c>
      <c r="E40">
        <v>365</v>
      </c>
      <c r="F40" s="11" t="s">
        <v>8</v>
      </c>
      <c r="G40" s="11" t="s">
        <v>8</v>
      </c>
      <c r="H40">
        <v>365</v>
      </c>
      <c r="I40">
        <v>0</v>
      </c>
      <c r="J40" s="10">
        <v>0</v>
      </c>
    </row>
    <row r="41" spans="1:10" x14ac:dyDescent="0.2">
      <c r="A41">
        <v>1983</v>
      </c>
      <c r="B41" s="13">
        <v>16</v>
      </c>
      <c r="C41" s="2">
        <v>30421</v>
      </c>
      <c r="D41" s="2">
        <v>30786</v>
      </c>
      <c r="E41">
        <v>366</v>
      </c>
      <c r="F41" s="11" t="s">
        <v>8</v>
      </c>
      <c r="G41" s="11" t="s">
        <v>8</v>
      </c>
      <c r="H41">
        <v>366</v>
      </c>
      <c r="I41">
        <v>0</v>
      </c>
      <c r="J41" s="10">
        <v>0</v>
      </c>
    </row>
    <row r="42" spans="1:10" x14ac:dyDescent="0.2">
      <c r="A42">
        <v>1982</v>
      </c>
      <c r="B42" s="13">
        <v>19</v>
      </c>
      <c r="C42" s="2">
        <v>30056</v>
      </c>
      <c r="D42" s="2">
        <v>30420</v>
      </c>
      <c r="E42">
        <v>365</v>
      </c>
      <c r="F42" s="11" t="s">
        <v>8</v>
      </c>
      <c r="G42" s="11" t="s">
        <v>8</v>
      </c>
      <c r="H42">
        <v>365</v>
      </c>
      <c r="I42">
        <v>0</v>
      </c>
      <c r="J42" s="10">
        <v>0</v>
      </c>
    </row>
    <row r="43" spans="1:10" x14ac:dyDescent="0.2">
      <c r="A43">
        <v>1981</v>
      </c>
      <c r="B43" s="13">
        <v>23</v>
      </c>
      <c r="C43" s="2">
        <v>29691</v>
      </c>
      <c r="D43" s="2">
        <v>30055</v>
      </c>
      <c r="E43">
        <v>365</v>
      </c>
      <c r="F43" s="11" t="s">
        <v>8</v>
      </c>
      <c r="G43" s="11" t="s">
        <v>8</v>
      </c>
      <c r="H43">
        <v>365</v>
      </c>
      <c r="I43">
        <v>0</v>
      </c>
      <c r="J43" s="10">
        <v>0</v>
      </c>
    </row>
    <row r="44" spans="1:10" x14ac:dyDescent="0.2">
      <c r="A44">
        <v>1980</v>
      </c>
      <c r="B44" s="13">
        <v>20</v>
      </c>
      <c r="C44" s="2">
        <v>29326</v>
      </c>
      <c r="D44" s="2">
        <v>29690</v>
      </c>
      <c r="E44">
        <v>365</v>
      </c>
      <c r="F44" s="11" t="s">
        <v>8</v>
      </c>
      <c r="G44" s="11" t="s">
        <v>8</v>
      </c>
      <c r="H44">
        <v>365</v>
      </c>
      <c r="I44">
        <v>0</v>
      </c>
      <c r="J44" s="10">
        <v>0</v>
      </c>
    </row>
    <row r="45" spans="1:10" x14ac:dyDescent="0.2">
      <c r="A45">
        <v>1979</v>
      </c>
      <c r="B45" s="13">
        <v>25</v>
      </c>
      <c r="C45" s="2">
        <v>28960</v>
      </c>
      <c r="D45" s="2">
        <v>29325</v>
      </c>
      <c r="E45">
        <v>366</v>
      </c>
      <c r="F45" s="11" t="s">
        <v>8</v>
      </c>
      <c r="G45" s="11" t="s">
        <v>8</v>
      </c>
      <c r="H45">
        <v>366</v>
      </c>
      <c r="I45">
        <v>0</v>
      </c>
      <c r="J45" s="1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976-CE3C-C641-8F36-3FE10C5AF96B}">
  <dimension ref="A1:J45"/>
  <sheetViews>
    <sheetView workbookViewId="0">
      <selection activeCell="J17" sqref="J1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2022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2021</v>
      </c>
      <c r="B3" s="7">
        <v>631</v>
      </c>
      <c r="C3" s="2">
        <v>44301</v>
      </c>
      <c r="D3" s="2">
        <v>44665</v>
      </c>
      <c r="E3">
        <f t="shared" ref="E3:E9" si="0">D3-C3+1</f>
        <v>365</v>
      </c>
      <c r="F3" s="2">
        <v>44602</v>
      </c>
      <c r="G3" s="4" t="s">
        <v>8</v>
      </c>
      <c r="H3">
        <f>D3-F3+0.5</f>
        <v>63.5</v>
      </c>
      <c r="I3">
        <f>F3-C3+0.5</f>
        <v>301.5</v>
      </c>
      <c r="J3" s="10">
        <v>8</v>
      </c>
    </row>
    <row r="4" spans="1:10" x14ac:dyDescent="0.2">
      <c r="A4">
        <v>2020</v>
      </c>
      <c r="B4" s="7"/>
      <c r="C4" s="2">
        <v>43936</v>
      </c>
      <c r="D4" s="2">
        <v>44300</v>
      </c>
      <c r="E4">
        <f t="shared" si="0"/>
        <v>365</v>
      </c>
      <c r="F4" s="4" t="s">
        <v>8</v>
      </c>
      <c r="G4" s="2">
        <v>44200</v>
      </c>
      <c r="H4">
        <f>G4-C4</f>
        <v>264</v>
      </c>
      <c r="I4">
        <f>D4-G4+1</f>
        <v>101</v>
      </c>
      <c r="J4" s="10">
        <v>0</v>
      </c>
    </row>
    <row r="5" spans="1:10" x14ac:dyDescent="0.2">
      <c r="A5">
        <v>2019</v>
      </c>
      <c r="B5" s="7">
        <v>695</v>
      </c>
      <c r="C5" s="2">
        <v>43570</v>
      </c>
      <c r="D5" s="2">
        <v>43935</v>
      </c>
      <c r="E5">
        <f t="shared" si="0"/>
        <v>366</v>
      </c>
      <c r="F5" s="4" t="s">
        <v>8</v>
      </c>
      <c r="G5" s="4" t="s">
        <v>8</v>
      </c>
      <c r="H5">
        <f t="shared" ref="H5:H9" si="1">E5</f>
        <v>366</v>
      </c>
      <c r="I5">
        <v>0</v>
      </c>
      <c r="J5" s="10">
        <v>0</v>
      </c>
    </row>
    <row r="6" spans="1:10" x14ac:dyDescent="0.2">
      <c r="A6">
        <v>2018</v>
      </c>
      <c r="B6" s="7"/>
      <c r="C6" s="2">
        <v>43205</v>
      </c>
      <c r="D6" s="2">
        <v>43569</v>
      </c>
      <c r="E6">
        <f t="shared" si="0"/>
        <v>365</v>
      </c>
      <c r="F6" s="4" t="s">
        <v>8</v>
      </c>
      <c r="G6" s="4" t="s">
        <v>8</v>
      </c>
      <c r="H6">
        <f t="shared" si="1"/>
        <v>365</v>
      </c>
      <c r="I6">
        <v>0</v>
      </c>
      <c r="J6" s="10">
        <v>0</v>
      </c>
    </row>
    <row r="7" spans="1:10" x14ac:dyDescent="0.2">
      <c r="A7">
        <v>2017</v>
      </c>
      <c r="B7" s="7">
        <v>662</v>
      </c>
      <c r="C7" s="2">
        <v>42840</v>
      </c>
      <c r="D7" s="2">
        <v>43204</v>
      </c>
      <c r="E7">
        <f t="shared" si="0"/>
        <v>365</v>
      </c>
      <c r="F7" s="4" t="s">
        <v>8</v>
      </c>
      <c r="G7" s="4" t="s">
        <v>8</v>
      </c>
      <c r="H7">
        <f t="shared" si="1"/>
        <v>365</v>
      </c>
      <c r="I7">
        <v>0</v>
      </c>
      <c r="J7" s="10">
        <v>0</v>
      </c>
    </row>
    <row r="8" spans="1:10" x14ac:dyDescent="0.2">
      <c r="A8">
        <v>2016</v>
      </c>
      <c r="B8" s="7"/>
      <c r="C8" s="2">
        <v>42475</v>
      </c>
      <c r="D8" s="2">
        <v>42839</v>
      </c>
      <c r="E8">
        <f t="shared" si="0"/>
        <v>365</v>
      </c>
      <c r="F8" s="4" t="s">
        <v>8</v>
      </c>
      <c r="G8" s="4" t="s">
        <v>8</v>
      </c>
      <c r="H8">
        <f t="shared" si="1"/>
        <v>365</v>
      </c>
      <c r="I8">
        <v>0</v>
      </c>
      <c r="J8" s="10">
        <v>3</v>
      </c>
    </row>
    <row r="9" spans="1:10" x14ac:dyDescent="0.2">
      <c r="A9">
        <v>2015</v>
      </c>
      <c r="B9" s="7">
        <v>618</v>
      </c>
      <c r="C9" s="2">
        <v>42109</v>
      </c>
      <c r="D9" s="2">
        <v>42474</v>
      </c>
      <c r="E9">
        <f t="shared" si="0"/>
        <v>366</v>
      </c>
      <c r="F9" s="4" t="s">
        <v>8</v>
      </c>
      <c r="G9" s="4" t="s">
        <v>8</v>
      </c>
      <c r="H9">
        <f t="shared" si="1"/>
        <v>366</v>
      </c>
      <c r="I9">
        <v>0</v>
      </c>
      <c r="J9" s="10">
        <v>0</v>
      </c>
    </row>
    <row r="10" spans="1:10" x14ac:dyDescent="0.2">
      <c r="A10">
        <v>2014</v>
      </c>
      <c r="B10" s="7"/>
      <c r="C10" s="2">
        <v>41744</v>
      </c>
      <c r="D10" s="2">
        <v>42108</v>
      </c>
      <c r="E10">
        <f>D10-C10+1</f>
        <v>365</v>
      </c>
      <c r="F10" s="2">
        <v>41992</v>
      </c>
      <c r="G10" s="4" t="s">
        <v>8</v>
      </c>
      <c r="H10">
        <f>D10-F10+0.5</f>
        <v>116.5</v>
      </c>
      <c r="I10">
        <f>F10-C10+0.5</f>
        <v>248.5</v>
      </c>
      <c r="J10" s="10">
        <v>0</v>
      </c>
    </row>
    <row r="11" spans="1:10" x14ac:dyDescent="0.2">
      <c r="A11">
        <v>2013</v>
      </c>
      <c r="B11" s="7">
        <v>636</v>
      </c>
      <c r="C11" s="2">
        <v>41379</v>
      </c>
      <c r="D11" s="2">
        <v>41743</v>
      </c>
      <c r="E11">
        <f t="shared" ref="E11:E36" si="2">D11-C11+1</f>
        <v>365</v>
      </c>
      <c r="F11" s="5" t="s">
        <v>8</v>
      </c>
      <c r="G11" s="5" t="s">
        <v>8</v>
      </c>
      <c r="H11">
        <v>0</v>
      </c>
      <c r="I11">
        <f>E11</f>
        <v>365</v>
      </c>
      <c r="J11" s="10">
        <f>7 + 23</f>
        <v>30</v>
      </c>
    </row>
    <row r="12" spans="1:10" x14ac:dyDescent="0.2">
      <c r="A12">
        <v>2012</v>
      </c>
      <c r="B12" s="7">
        <v>658</v>
      </c>
      <c r="C12" s="2">
        <v>41014</v>
      </c>
      <c r="D12" s="2">
        <v>41378</v>
      </c>
      <c r="E12">
        <f t="shared" si="2"/>
        <v>365</v>
      </c>
      <c r="F12" s="4" t="s">
        <v>8</v>
      </c>
      <c r="G12" s="4" t="s">
        <v>8</v>
      </c>
      <c r="H12">
        <v>0</v>
      </c>
      <c r="I12">
        <v>365</v>
      </c>
      <c r="J12" s="10">
        <v>5</v>
      </c>
    </row>
    <row r="13" spans="1:10" x14ac:dyDescent="0.2">
      <c r="A13">
        <v>2011</v>
      </c>
      <c r="B13" s="7"/>
      <c r="C13" s="2">
        <v>40648</v>
      </c>
      <c r="D13" s="2">
        <v>41013</v>
      </c>
      <c r="E13">
        <f t="shared" si="2"/>
        <v>366</v>
      </c>
      <c r="F13" s="4" t="s">
        <v>8</v>
      </c>
      <c r="G13" s="2">
        <v>40935</v>
      </c>
      <c r="H13">
        <f>G13-C13</f>
        <v>287</v>
      </c>
      <c r="I13">
        <f>D13-G13+1</f>
        <v>79</v>
      </c>
      <c r="J13" s="10">
        <v>10</v>
      </c>
    </row>
    <row r="14" spans="1:10" x14ac:dyDescent="0.2">
      <c r="A14">
        <v>2010</v>
      </c>
      <c r="B14" s="7">
        <v>687</v>
      </c>
      <c r="C14" s="2">
        <v>40283</v>
      </c>
      <c r="D14" s="2">
        <v>40647</v>
      </c>
      <c r="E14">
        <f t="shared" si="2"/>
        <v>365</v>
      </c>
      <c r="F14" s="4" t="s">
        <v>8</v>
      </c>
      <c r="G14" s="5" t="s">
        <v>8</v>
      </c>
      <c r="H14">
        <f>E14</f>
        <v>365</v>
      </c>
      <c r="I14">
        <v>0</v>
      </c>
      <c r="J14" s="10">
        <v>5</v>
      </c>
    </row>
    <row r="15" spans="1:10" x14ac:dyDescent="0.2">
      <c r="A15">
        <v>2009</v>
      </c>
      <c r="B15" s="7">
        <v>557</v>
      </c>
      <c r="C15" s="2">
        <v>39918</v>
      </c>
      <c r="D15" s="2">
        <v>40282</v>
      </c>
      <c r="E15">
        <f t="shared" si="2"/>
        <v>365</v>
      </c>
      <c r="F15" s="2">
        <v>40072</v>
      </c>
      <c r="G15" s="2">
        <v>39937</v>
      </c>
      <c r="H15">
        <f>(G15-C15)+(D15-F15)+0.5</f>
        <v>229.5</v>
      </c>
      <c r="I15">
        <f>F15-G15+0.5</f>
        <v>135.5</v>
      </c>
      <c r="J15" s="10">
        <v>4</v>
      </c>
    </row>
    <row r="16" spans="1:10" x14ac:dyDescent="0.2">
      <c r="A16">
        <v>2008</v>
      </c>
      <c r="B16" s="7">
        <v>577</v>
      </c>
      <c r="C16" s="2">
        <v>39553</v>
      </c>
      <c r="D16" s="2">
        <v>39917</v>
      </c>
      <c r="E16">
        <f t="shared" si="2"/>
        <v>365</v>
      </c>
      <c r="F16" s="2">
        <v>39720</v>
      </c>
      <c r="G16" s="5" t="s">
        <v>8</v>
      </c>
      <c r="H16">
        <f>D16-F16+0.5</f>
        <v>197.5</v>
      </c>
      <c r="I16">
        <f>F16-C16+0.5</f>
        <v>167.5</v>
      </c>
      <c r="J16" s="10">
        <v>5</v>
      </c>
    </row>
    <row r="17" spans="1:10" x14ac:dyDescent="0.2">
      <c r="A17">
        <v>2007</v>
      </c>
      <c r="B17" s="7">
        <v>520</v>
      </c>
      <c r="C17" s="2">
        <v>39187</v>
      </c>
      <c r="D17" s="2">
        <v>39552</v>
      </c>
      <c r="E17">
        <f t="shared" si="2"/>
        <v>366</v>
      </c>
      <c r="F17" s="5" t="s">
        <v>8</v>
      </c>
      <c r="G17" s="5" t="s">
        <v>8</v>
      </c>
      <c r="H17">
        <v>0</v>
      </c>
      <c r="I17">
        <f>E17</f>
        <v>366</v>
      </c>
      <c r="J17" s="10">
        <v>19</v>
      </c>
    </row>
    <row r="18" spans="1:10" x14ac:dyDescent="0.2">
      <c r="A18">
        <v>2006</v>
      </c>
      <c r="B18" s="7">
        <v>509</v>
      </c>
      <c r="C18" s="2">
        <v>38822</v>
      </c>
      <c r="D18" s="2">
        <v>39186</v>
      </c>
      <c r="E18">
        <f t="shared" si="2"/>
        <v>365</v>
      </c>
      <c r="F18" s="4" t="s">
        <v>8</v>
      </c>
      <c r="G18" s="2">
        <v>39153</v>
      </c>
      <c r="H18">
        <f>G18-C18</f>
        <v>331</v>
      </c>
      <c r="I18">
        <f>D18-G18+1</f>
        <v>34</v>
      </c>
      <c r="J18" s="10">
        <v>10</v>
      </c>
    </row>
    <row r="19" spans="1:10" x14ac:dyDescent="0.2">
      <c r="A19">
        <v>2005</v>
      </c>
      <c r="B19" s="8">
        <v>434</v>
      </c>
      <c r="C19" s="2">
        <v>38457</v>
      </c>
      <c r="D19" s="2">
        <v>38821</v>
      </c>
      <c r="E19">
        <f t="shared" si="2"/>
        <v>365</v>
      </c>
      <c r="F19" s="4" t="s">
        <v>8</v>
      </c>
      <c r="G19" s="4" t="s">
        <v>8</v>
      </c>
      <c r="H19">
        <f t="shared" ref="H19:H36" si="3">E19</f>
        <v>365</v>
      </c>
      <c r="I19">
        <v>0</v>
      </c>
      <c r="J19" s="10">
        <v>3</v>
      </c>
    </row>
    <row r="20" spans="1:10" x14ac:dyDescent="0.2">
      <c r="A20">
        <v>2004</v>
      </c>
      <c r="B20" s="8">
        <v>405</v>
      </c>
      <c r="C20" s="2">
        <v>38092</v>
      </c>
      <c r="D20" s="2">
        <v>38456</v>
      </c>
      <c r="E20">
        <f t="shared" si="2"/>
        <v>365</v>
      </c>
      <c r="F20" s="4" t="s">
        <v>8</v>
      </c>
      <c r="G20" s="4" t="s">
        <v>8</v>
      </c>
      <c r="H20">
        <f t="shared" si="3"/>
        <v>365</v>
      </c>
      <c r="I20">
        <v>0</v>
      </c>
      <c r="J20" s="10">
        <v>9</v>
      </c>
    </row>
    <row r="21" spans="1:10" x14ac:dyDescent="0.2">
      <c r="A21">
        <v>2003</v>
      </c>
      <c r="B21" s="8">
        <v>360</v>
      </c>
      <c r="C21" s="2">
        <v>37726</v>
      </c>
      <c r="D21" s="2">
        <v>38091</v>
      </c>
      <c r="E21">
        <f t="shared" si="2"/>
        <v>366</v>
      </c>
      <c r="F21" s="4" t="s">
        <v>8</v>
      </c>
      <c r="G21" s="4" t="s">
        <v>8</v>
      </c>
      <c r="H21">
        <f t="shared" si="3"/>
        <v>366</v>
      </c>
      <c r="I21">
        <v>0</v>
      </c>
      <c r="J21" s="10">
        <v>1</v>
      </c>
    </row>
    <row r="22" spans="1:10" x14ac:dyDescent="0.2">
      <c r="A22">
        <v>2002</v>
      </c>
      <c r="B22" s="8">
        <v>321</v>
      </c>
      <c r="C22" s="2">
        <v>37361</v>
      </c>
      <c r="D22" s="2">
        <v>37725</v>
      </c>
      <c r="E22">
        <f t="shared" si="2"/>
        <v>365</v>
      </c>
      <c r="F22" s="4" t="s">
        <v>8</v>
      </c>
      <c r="G22" s="4" t="s">
        <v>8</v>
      </c>
      <c r="H22">
        <f t="shared" si="3"/>
        <v>365</v>
      </c>
      <c r="I22">
        <v>0</v>
      </c>
      <c r="J22" s="10">
        <v>0</v>
      </c>
    </row>
    <row r="23" spans="1:10" x14ac:dyDescent="0.2">
      <c r="A23">
        <v>2001</v>
      </c>
      <c r="B23" s="8">
        <v>278</v>
      </c>
      <c r="C23" s="2">
        <v>36996</v>
      </c>
      <c r="D23" s="2">
        <v>37360</v>
      </c>
      <c r="E23">
        <f t="shared" si="2"/>
        <v>365</v>
      </c>
      <c r="F23" s="4" t="s">
        <v>8</v>
      </c>
      <c r="G23" s="4" t="s">
        <v>8</v>
      </c>
      <c r="H23">
        <f t="shared" si="3"/>
        <v>365</v>
      </c>
      <c r="I23">
        <v>0</v>
      </c>
      <c r="J23" s="10">
        <v>0</v>
      </c>
    </row>
    <row r="24" spans="1:10" x14ac:dyDescent="0.2">
      <c r="A24">
        <v>2000</v>
      </c>
      <c r="B24" s="8">
        <v>249</v>
      </c>
      <c r="C24" s="2">
        <v>36631</v>
      </c>
      <c r="D24" s="2">
        <v>36995</v>
      </c>
      <c r="E24">
        <f t="shared" si="2"/>
        <v>365</v>
      </c>
      <c r="F24" s="4" t="s">
        <v>8</v>
      </c>
      <c r="G24" s="4" t="s">
        <v>8</v>
      </c>
      <c r="H24">
        <f t="shared" si="3"/>
        <v>365</v>
      </c>
      <c r="I24">
        <v>0</v>
      </c>
      <c r="J24" s="10">
        <v>0</v>
      </c>
    </row>
    <row r="25" spans="1:10" x14ac:dyDescent="0.2">
      <c r="A25">
        <v>1999</v>
      </c>
      <c r="B25" s="8">
        <v>216</v>
      </c>
      <c r="C25" s="2">
        <v>36265</v>
      </c>
      <c r="D25" s="2">
        <v>36630</v>
      </c>
      <c r="E25">
        <f t="shared" si="2"/>
        <v>366</v>
      </c>
      <c r="F25" s="4" t="s">
        <v>8</v>
      </c>
      <c r="G25" s="4" t="s">
        <v>8</v>
      </c>
      <c r="H25">
        <f t="shared" si="3"/>
        <v>366</v>
      </c>
      <c r="I25">
        <v>0</v>
      </c>
      <c r="J25" s="10">
        <v>0</v>
      </c>
    </row>
    <row r="26" spans="1:10" x14ac:dyDescent="0.2">
      <c r="A26">
        <v>1998</v>
      </c>
      <c r="B26" s="8">
        <v>174</v>
      </c>
      <c r="C26" s="2">
        <v>35900</v>
      </c>
      <c r="D26" s="2">
        <v>36264</v>
      </c>
      <c r="E26">
        <f t="shared" si="2"/>
        <v>365</v>
      </c>
      <c r="F26" s="4" t="s">
        <v>8</v>
      </c>
      <c r="G26" s="4" t="s">
        <v>8</v>
      </c>
      <c r="H26">
        <f t="shared" si="3"/>
        <v>365</v>
      </c>
      <c r="I26">
        <v>0</v>
      </c>
      <c r="J26" s="10">
        <v>0</v>
      </c>
    </row>
    <row r="27" spans="1:10" x14ac:dyDescent="0.2">
      <c r="A27">
        <v>1997</v>
      </c>
      <c r="B27" s="8">
        <v>140</v>
      </c>
      <c r="C27" s="2">
        <v>35535</v>
      </c>
      <c r="D27" s="2">
        <v>35899</v>
      </c>
      <c r="E27">
        <f t="shared" si="2"/>
        <v>365</v>
      </c>
      <c r="F27" s="4" t="s">
        <v>8</v>
      </c>
      <c r="G27" s="4" t="s">
        <v>8</v>
      </c>
      <c r="H27">
        <f t="shared" si="3"/>
        <v>365</v>
      </c>
      <c r="I27">
        <v>0</v>
      </c>
      <c r="J27" s="10">
        <v>0</v>
      </c>
    </row>
    <row r="28" spans="1:10" x14ac:dyDescent="0.2">
      <c r="A28">
        <v>1996</v>
      </c>
      <c r="B28" s="8">
        <v>112</v>
      </c>
      <c r="C28" s="2">
        <v>35170</v>
      </c>
      <c r="D28" s="2">
        <v>35534</v>
      </c>
      <c r="E28">
        <f t="shared" si="2"/>
        <v>365</v>
      </c>
      <c r="F28" s="4" t="s">
        <v>8</v>
      </c>
      <c r="G28" s="4" t="s">
        <v>8</v>
      </c>
      <c r="H28">
        <f t="shared" si="3"/>
        <v>365</v>
      </c>
      <c r="I28">
        <v>0</v>
      </c>
      <c r="J28">
        <v>0</v>
      </c>
    </row>
    <row r="29" spans="1:10" x14ac:dyDescent="0.2">
      <c r="A29">
        <v>1995</v>
      </c>
      <c r="B29" s="8">
        <v>116</v>
      </c>
      <c r="C29" s="2">
        <v>34804</v>
      </c>
      <c r="D29" s="2">
        <v>35169</v>
      </c>
      <c r="E29">
        <f t="shared" si="2"/>
        <v>366</v>
      </c>
      <c r="F29" s="4" t="s">
        <v>8</v>
      </c>
      <c r="G29" s="4" t="s">
        <v>8</v>
      </c>
      <c r="H29">
        <f t="shared" si="3"/>
        <v>366</v>
      </c>
      <c r="I29">
        <v>0</v>
      </c>
      <c r="J29">
        <v>0</v>
      </c>
    </row>
    <row r="30" spans="1:10" x14ac:dyDescent="0.2">
      <c r="A30">
        <v>1994</v>
      </c>
      <c r="B30" s="8">
        <v>80</v>
      </c>
      <c r="C30" s="2">
        <v>34439</v>
      </c>
      <c r="D30" s="2">
        <v>34803</v>
      </c>
      <c r="E30">
        <f t="shared" si="2"/>
        <v>365</v>
      </c>
      <c r="F30" s="4" t="s">
        <v>8</v>
      </c>
      <c r="G30" s="4" t="s">
        <v>8</v>
      </c>
      <c r="H30">
        <f t="shared" si="3"/>
        <v>365</v>
      </c>
      <c r="I30">
        <v>0</v>
      </c>
      <c r="J30">
        <v>0</v>
      </c>
    </row>
    <row r="31" spans="1:10" x14ac:dyDescent="0.2">
      <c r="A31">
        <v>1993</v>
      </c>
      <c r="B31" s="8">
        <v>57</v>
      </c>
      <c r="C31" s="2">
        <v>34074</v>
      </c>
      <c r="D31" s="2">
        <v>34438</v>
      </c>
      <c r="E31">
        <f t="shared" si="2"/>
        <v>365</v>
      </c>
      <c r="F31" s="4" t="s">
        <v>8</v>
      </c>
      <c r="G31" s="4" t="s">
        <v>8</v>
      </c>
      <c r="H31">
        <f t="shared" si="3"/>
        <v>365</v>
      </c>
      <c r="I31">
        <v>0</v>
      </c>
      <c r="J31">
        <v>0</v>
      </c>
    </row>
    <row r="32" spans="1:10" x14ac:dyDescent="0.2">
      <c r="A32">
        <v>1992</v>
      </c>
      <c r="B32" s="8">
        <v>30</v>
      </c>
      <c r="C32" s="2">
        <v>33709</v>
      </c>
      <c r="D32" s="2">
        <v>34073</v>
      </c>
      <c r="E32">
        <f t="shared" si="2"/>
        <v>365</v>
      </c>
      <c r="F32" s="4" t="s">
        <v>8</v>
      </c>
      <c r="G32" s="4" t="s">
        <v>8</v>
      </c>
      <c r="H32">
        <f t="shared" si="3"/>
        <v>365</v>
      </c>
      <c r="I32">
        <v>0</v>
      </c>
      <c r="J32">
        <v>0</v>
      </c>
    </row>
    <row r="33" spans="1:10" x14ac:dyDescent="0.2">
      <c r="A33">
        <v>1991</v>
      </c>
      <c r="B33" s="8">
        <v>21</v>
      </c>
      <c r="C33" s="2">
        <v>33343</v>
      </c>
      <c r="D33" s="2">
        <v>33708</v>
      </c>
      <c r="E33">
        <f t="shared" si="2"/>
        <v>366</v>
      </c>
      <c r="F33" s="4" t="s">
        <v>8</v>
      </c>
      <c r="G33" s="4" t="s">
        <v>8</v>
      </c>
      <c r="H33">
        <f t="shared" si="3"/>
        <v>366</v>
      </c>
      <c r="I33">
        <v>0</v>
      </c>
      <c r="J33">
        <v>0</v>
      </c>
    </row>
    <row r="34" spans="1:10" x14ac:dyDescent="0.2">
      <c r="A34">
        <v>1990</v>
      </c>
      <c r="B34" s="8">
        <v>17</v>
      </c>
      <c r="C34" s="2">
        <v>32978</v>
      </c>
      <c r="D34" s="2">
        <v>33342</v>
      </c>
      <c r="E34">
        <f t="shared" si="2"/>
        <v>365</v>
      </c>
      <c r="F34" s="4" t="s">
        <v>8</v>
      </c>
      <c r="G34" s="4" t="s">
        <v>8</v>
      </c>
      <c r="H34">
        <f t="shared" si="3"/>
        <v>365</v>
      </c>
      <c r="I34">
        <v>0</v>
      </c>
      <c r="J34">
        <v>0</v>
      </c>
    </row>
    <row r="35" spans="1:10" x14ac:dyDescent="0.2">
      <c r="A35">
        <v>1989</v>
      </c>
      <c r="B35" s="8">
        <v>10</v>
      </c>
      <c r="C35" s="2">
        <v>32613</v>
      </c>
      <c r="D35" s="2">
        <v>32977</v>
      </c>
      <c r="E35">
        <f t="shared" si="2"/>
        <v>365</v>
      </c>
      <c r="F35" s="4" t="s">
        <v>8</v>
      </c>
      <c r="G35" s="4" t="s">
        <v>8</v>
      </c>
      <c r="H35">
        <f t="shared" si="3"/>
        <v>365</v>
      </c>
      <c r="I35">
        <v>0</v>
      </c>
      <c r="J35">
        <v>0</v>
      </c>
    </row>
    <row r="36" spans="1:10" x14ac:dyDescent="0.2">
      <c r="A36">
        <v>1988</v>
      </c>
      <c r="B36" s="8">
        <v>3</v>
      </c>
      <c r="C36" s="2">
        <v>32248</v>
      </c>
      <c r="D36" s="2">
        <v>32612</v>
      </c>
      <c r="E36">
        <f t="shared" si="2"/>
        <v>365</v>
      </c>
      <c r="F36" s="4" t="s">
        <v>8</v>
      </c>
      <c r="G36" s="4" t="s">
        <v>8</v>
      </c>
      <c r="H36">
        <f t="shared" si="3"/>
        <v>365</v>
      </c>
      <c r="I36">
        <v>0</v>
      </c>
      <c r="J36">
        <v>0</v>
      </c>
    </row>
    <row r="37" spans="1:10" x14ac:dyDescent="0.2">
      <c r="B37" s="3"/>
      <c r="C37" s="2"/>
      <c r="D37" s="2"/>
      <c r="F37" s="4"/>
      <c r="G37" s="4"/>
    </row>
    <row r="38" spans="1:10" x14ac:dyDescent="0.2">
      <c r="B38" s="3"/>
      <c r="C38" s="2"/>
      <c r="D38" s="2"/>
      <c r="F38" s="4"/>
      <c r="G38" s="4"/>
    </row>
    <row r="39" spans="1:10" x14ac:dyDescent="0.2">
      <c r="B39" s="3"/>
      <c r="C39" s="2"/>
      <c r="D39" s="2"/>
      <c r="F39" s="4"/>
      <c r="G39" s="4"/>
    </row>
    <row r="40" spans="1:10" x14ac:dyDescent="0.2">
      <c r="B40" s="3"/>
      <c r="C40" s="2"/>
      <c r="D40" s="2"/>
      <c r="F40" s="4"/>
      <c r="G40" s="4"/>
    </row>
    <row r="41" spans="1:10" x14ac:dyDescent="0.2">
      <c r="B41" s="3"/>
      <c r="C41" s="2"/>
      <c r="D41" s="2"/>
      <c r="F41" s="4"/>
      <c r="G41" s="4"/>
    </row>
    <row r="42" spans="1:10" x14ac:dyDescent="0.2">
      <c r="B42" s="3"/>
      <c r="C42" s="2"/>
      <c r="D42" s="2"/>
      <c r="F42" s="4"/>
      <c r="G42" s="4"/>
    </row>
    <row r="43" spans="1:10" x14ac:dyDescent="0.2">
      <c r="B43" s="3"/>
      <c r="C43" s="2"/>
      <c r="D43" s="2"/>
      <c r="F43" s="4"/>
      <c r="G43" s="4"/>
    </row>
    <row r="44" spans="1:10" x14ac:dyDescent="0.2">
      <c r="B44" s="3"/>
      <c r="C44" s="2"/>
      <c r="D44" s="2"/>
      <c r="F44" s="4"/>
      <c r="G44" s="4"/>
    </row>
    <row r="45" spans="1:10" x14ac:dyDescent="0.2">
      <c r="B45" s="3"/>
      <c r="C45" s="2"/>
      <c r="D45" s="2"/>
      <c r="F45" s="4"/>
      <c r="G4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AB4F-CECE-9C47-BC0F-7E224AF2142F}">
  <dimension ref="A1:J47"/>
  <sheetViews>
    <sheetView workbookViewId="0">
      <selection activeCell="B15" sqref="B15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0" x14ac:dyDescent="0.2">
      <c r="A2">
        <v>2023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</row>
    <row r="3" spans="1:10" x14ac:dyDescent="0.2">
      <c r="A3">
        <v>2022</v>
      </c>
      <c r="B3" s="4" t="s">
        <v>8</v>
      </c>
      <c r="C3" s="2">
        <v>44562</v>
      </c>
      <c r="D3" s="2">
        <v>44926</v>
      </c>
      <c r="E3">
        <f t="shared" ref="E3:E9" si="0">D3-C3+1</f>
        <v>365</v>
      </c>
      <c r="F3" s="2">
        <v>44602</v>
      </c>
      <c r="G3" s="4" t="s">
        <v>8</v>
      </c>
      <c r="H3">
        <f>D3-F3+0.5</f>
        <v>324.5</v>
      </c>
      <c r="I3">
        <f>F3-C3+0.5</f>
        <v>40.5</v>
      </c>
      <c r="J3" s="4" t="s">
        <v>8</v>
      </c>
    </row>
    <row r="4" spans="1:10" x14ac:dyDescent="0.2">
      <c r="A4">
        <v>2021</v>
      </c>
      <c r="B4" s="3">
        <v>2691</v>
      </c>
      <c r="C4" s="2">
        <v>44197</v>
      </c>
      <c r="D4" s="2">
        <v>44561</v>
      </c>
      <c r="E4">
        <f t="shared" si="0"/>
        <v>365</v>
      </c>
      <c r="F4" s="4" t="s">
        <v>8</v>
      </c>
      <c r="G4" s="2">
        <v>44200</v>
      </c>
      <c r="H4">
        <f>G4-C4</f>
        <v>3</v>
      </c>
      <c r="I4">
        <f>D4-G4+1</f>
        <v>362</v>
      </c>
      <c r="J4" s="10">
        <v>162</v>
      </c>
    </row>
    <row r="5" spans="1:10" x14ac:dyDescent="0.2">
      <c r="A5">
        <v>2020</v>
      </c>
      <c r="B5" s="3">
        <v>2770</v>
      </c>
      <c r="C5" s="2">
        <v>43831</v>
      </c>
      <c r="D5" s="2">
        <v>44196</v>
      </c>
      <c r="E5">
        <f t="shared" si="0"/>
        <v>366</v>
      </c>
      <c r="F5" s="4" t="s">
        <v>8</v>
      </c>
      <c r="G5" s="4" t="s">
        <v>8</v>
      </c>
      <c r="H5">
        <f t="shared" ref="H5:H9" si="1">E5</f>
        <v>366</v>
      </c>
      <c r="I5">
        <v>0</v>
      </c>
      <c r="J5" s="10">
        <v>216</v>
      </c>
    </row>
    <row r="6" spans="1:10" x14ac:dyDescent="0.2">
      <c r="A6">
        <v>2019</v>
      </c>
      <c r="B6" s="3">
        <v>2696</v>
      </c>
      <c r="C6" s="2">
        <v>43466</v>
      </c>
      <c r="D6" s="2">
        <v>43830</v>
      </c>
      <c r="E6">
        <f t="shared" si="0"/>
        <v>365</v>
      </c>
      <c r="F6" s="4" t="s">
        <v>8</v>
      </c>
      <c r="G6" s="4" t="s">
        <v>8</v>
      </c>
      <c r="H6">
        <f t="shared" si="1"/>
        <v>365</v>
      </c>
      <c r="I6">
        <v>0</v>
      </c>
      <c r="J6" s="10">
        <v>166</v>
      </c>
    </row>
    <row r="7" spans="1:10" x14ac:dyDescent="0.2">
      <c r="A7">
        <v>2018</v>
      </c>
      <c r="B7" s="3">
        <v>2699</v>
      </c>
      <c r="C7" s="2">
        <v>43101</v>
      </c>
      <c r="D7" s="2">
        <v>43465</v>
      </c>
      <c r="E7">
        <f t="shared" si="0"/>
        <v>365</v>
      </c>
      <c r="F7" s="4" t="s">
        <v>8</v>
      </c>
      <c r="G7" s="4" t="s">
        <v>8</v>
      </c>
      <c r="H7">
        <f t="shared" si="1"/>
        <v>365</v>
      </c>
      <c r="I7">
        <v>0</v>
      </c>
      <c r="J7" s="10">
        <v>189</v>
      </c>
    </row>
    <row r="8" spans="1:10" x14ac:dyDescent="0.2">
      <c r="A8">
        <v>2017</v>
      </c>
      <c r="B8" s="3">
        <v>2655</v>
      </c>
      <c r="C8" s="2">
        <v>42736</v>
      </c>
      <c r="D8" s="2">
        <v>43100</v>
      </c>
      <c r="E8">
        <f t="shared" si="0"/>
        <v>365</v>
      </c>
      <c r="F8" s="4" t="s">
        <v>8</v>
      </c>
      <c r="G8" s="4" t="s">
        <v>8</v>
      </c>
      <c r="H8">
        <f t="shared" si="1"/>
        <v>365</v>
      </c>
      <c r="I8">
        <v>0</v>
      </c>
      <c r="J8" s="10">
        <v>190</v>
      </c>
    </row>
    <row r="9" spans="1:10" x14ac:dyDescent="0.2">
      <c r="A9">
        <v>2016</v>
      </c>
      <c r="B9" s="3">
        <v>2856</v>
      </c>
      <c r="C9" s="2">
        <v>42370</v>
      </c>
      <c r="D9" s="2">
        <v>42735</v>
      </c>
      <c r="E9">
        <f t="shared" si="0"/>
        <v>366</v>
      </c>
      <c r="F9" s="4" t="s">
        <v>8</v>
      </c>
      <c r="G9" s="4" t="s">
        <v>8</v>
      </c>
      <c r="H9">
        <f t="shared" si="1"/>
        <v>366</v>
      </c>
      <c r="I9">
        <v>0</v>
      </c>
      <c r="J9" s="10">
        <v>183</v>
      </c>
    </row>
    <row r="10" spans="1:10" x14ac:dyDescent="0.2">
      <c r="A10">
        <v>2015</v>
      </c>
      <c r="B10" s="3">
        <v>2278</v>
      </c>
      <c r="C10" s="2">
        <v>42005</v>
      </c>
      <c r="D10" s="2">
        <v>42369</v>
      </c>
      <c r="E10">
        <f>D10-C10+1</f>
        <v>365</v>
      </c>
      <c r="F10" s="4" t="s">
        <v>8</v>
      </c>
      <c r="G10" s="4" t="s">
        <v>8</v>
      </c>
      <c r="H10">
        <f>E10</f>
        <v>365</v>
      </c>
      <c r="I10">
        <v>0</v>
      </c>
      <c r="J10" s="10">
        <v>213</v>
      </c>
    </row>
    <row r="11" spans="1:10" x14ac:dyDescent="0.2">
      <c r="A11">
        <v>2014</v>
      </c>
      <c r="B11" s="3">
        <v>2221</v>
      </c>
      <c r="C11" s="2">
        <v>41640</v>
      </c>
      <c r="D11" s="2">
        <v>42004</v>
      </c>
      <c r="E11">
        <f t="shared" ref="E11:E13" si="2">D11-C11+1</f>
        <v>365</v>
      </c>
      <c r="F11" s="2">
        <v>41992</v>
      </c>
      <c r="G11" s="5" t="s">
        <v>8</v>
      </c>
      <c r="H11">
        <f>D11-F11+0.5</f>
        <v>12.5</v>
      </c>
      <c r="I11">
        <f>F11-C11+0.5</f>
        <v>352.5</v>
      </c>
      <c r="J11" s="10">
        <v>494</v>
      </c>
    </row>
    <row r="12" spans="1:10" x14ac:dyDescent="0.2">
      <c r="A12">
        <v>2013</v>
      </c>
      <c r="B12" s="3">
        <v>2423</v>
      </c>
      <c r="C12" s="2">
        <v>41275</v>
      </c>
      <c r="D12" s="2">
        <v>41639</v>
      </c>
      <c r="E12">
        <f t="shared" si="2"/>
        <v>365</v>
      </c>
      <c r="F12" s="4" t="s">
        <v>8</v>
      </c>
      <c r="G12" s="4" t="s">
        <v>8</v>
      </c>
      <c r="H12">
        <v>0</v>
      </c>
      <c r="I12">
        <v>365</v>
      </c>
      <c r="J12" s="10">
        <v>378</v>
      </c>
    </row>
    <row r="13" spans="1:10" x14ac:dyDescent="0.2">
      <c r="A13">
        <v>2012</v>
      </c>
      <c r="B13" s="3">
        <v>2211</v>
      </c>
      <c r="C13" s="2">
        <v>40909</v>
      </c>
      <c r="D13" s="2">
        <v>41274</v>
      </c>
      <c r="E13">
        <f t="shared" si="2"/>
        <v>366</v>
      </c>
      <c r="F13" s="4" t="s">
        <v>8</v>
      </c>
      <c r="G13" s="2">
        <v>40935</v>
      </c>
      <c r="H13">
        <f>G13-C13</f>
        <v>26</v>
      </c>
      <c r="I13">
        <f>D13-G13+1</f>
        <v>340</v>
      </c>
      <c r="J13" s="10">
        <v>692</v>
      </c>
    </row>
    <row r="14" spans="1:10" x14ac:dyDescent="0.2">
      <c r="B14" s="3"/>
      <c r="C14" s="2"/>
      <c r="D14" s="2"/>
      <c r="F14" s="4"/>
      <c r="G14" s="5"/>
      <c r="J14" s="10"/>
    </row>
    <row r="15" spans="1:10" x14ac:dyDescent="0.2">
      <c r="B15" s="3"/>
      <c r="C15" s="2"/>
      <c r="D15" s="2"/>
      <c r="F15" s="4"/>
      <c r="G15" s="5"/>
      <c r="J15" s="10"/>
    </row>
    <row r="16" spans="1:10" x14ac:dyDescent="0.2">
      <c r="B16" s="3"/>
      <c r="C16" s="2"/>
      <c r="D16" s="2"/>
      <c r="F16" s="2"/>
      <c r="G16" s="2"/>
      <c r="J16" s="10"/>
    </row>
    <row r="17" spans="2:10" x14ac:dyDescent="0.2">
      <c r="B17" s="3"/>
      <c r="C17" s="2"/>
      <c r="D17" s="2"/>
      <c r="F17" s="2"/>
      <c r="G17" s="5"/>
      <c r="J17" s="10"/>
    </row>
    <row r="18" spans="2:10" x14ac:dyDescent="0.2">
      <c r="B18" s="3"/>
      <c r="C18" s="2"/>
      <c r="D18" s="2"/>
      <c r="F18" s="4"/>
      <c r="G18" s="2"/>
      <c r="J18" s="10"/>
    </row>
    <row r="19" spans="2:10" x14ac:dyDescent="0.2">
      <c r="B19" s="3"/>
      <c r="C19" s="2"/>
      <c r="D19" s="2"/>
      <c r="F19" s="4"/>
      <c r="G19" s="4"/>
      <c r="J19" s="10"/>
    </row>
    <row r="20" spans="2:10" x14ac:dyDescent="0.2">
      <c r="B20" s="3"/>
      <c r="C20" s="2"/>
      <c r="D20" s="2"/>
      <c r="F20" s="4"/>
      <c r="G20" s="4"/>
      <c r="J20" s="10"/>
    </row>
    <row r="21" spans="2:10" x14ac:dyDescent="0.2">
      <c r="B21" s="3"/>
      <c r="C21" s="2"/>
      <c r="D21" s="2"/>
      <c r="F21" s="4"/>
      <c r="G21" s="4"/>
      <c r="J21" s="10"/>
    </row>
    <row r="22" spans="2:10" x14ac:dyDescent="0.2">
      <c r="B22" s="3"/>
      <c r="C22" s="2"/>
      <c r="D22" s="2"/>
      <c r="F22" s="4"/>
      <c r="G22" s="4"/>
      <c r="J22" s="10"/>
    </row>
    <row r="23" spans="2:10" x14ac:dyDescent="0.2">
      <c r="B23" s="3"/>
      <c r="C23" s="2"/>
      <c r="D23" s="2"/>
      <c r="F23" s="4"/>
      <c r="G23" s="4"/>
      <c r="J23" s="10"/>
    </row>
    <row r="24" spans="2:10" x14ac:dyDescent="0.2">
      <c r="B24" s="3"/>
      <c r="C24" s="2"/>
      <c r="D24" s="2"/>
      <c r="F24" s="4"/>
      <c r="G24" s="4"/>
      <c r="J24" s="10"/>
    </row>
    <row r="25" spans="2:10" x14ac:dyDescent="0.2">
      <c r="B25" s="3"/>
      <c r="C25" s="2"/>
      <c r="D25" s="2"/>
      <c r="F25" s="4"/>
      <c r="G25" s="4"/>
      <c r="J25" s="10"/>
    </row>
    <row r="26" spans="2:10" x14ac:dyDescent="0.2">
      <c r="B26" s="3"/>
      <c r="C26" s="2"/>
      <c r="D26" s="2"/>
      <c r="F26" s="4"/>
      <c r="G26" s="4"/>
      <c r="J26" s="10"/>
    </row>
    <row r="27" spans="2:10" x14ac:dyDescent="0.2">
      <c r="B27" s="3"/>
      <c r="C27" s="2"/>
      <c r="D27" s="2"/>
      <c r="F27" s="4"/>
      <c r="G27" s="4"/>
      <c r="J27" s="10"/>
    </row>
    <row r="28" spans="2:10" x14ac:dyDescent="0.2">
      <c r="B28" s="3"/>
      <c r="C28" s="2"/>
      <c r="D28" s="2"/>
      <c r="F28" s="4"/>
      <c r="G28" s="4"/>
      <c r="J28" s="10"/>
    </row>
    <row r="29" spans="2:10" x14ac:dyDescent="0.2">
      <c r="B29" s="3"/>
      <c r="C29" s="2"/>
      <c r="D29" s="2"/>
      <c r="F29" s="4"/>
      <c r="G29" s="4"/>
      <c r="J29" s="10"/>
    </row>
    <row r="30" spans="2:10" x14ac:dyDescent="0.2">
      <c r="B30" s="3"/>
      <c r="C30" s="2"/>
      <c r="D30" s="2"/>
      <c r="F30" s="4"/>
      <c r="G30" s="4"/>
      <c r="J30" s="10"/>
    </row>
    <row r="31" spans="2:10" x14ac:dyDescent="0.2">
      <c r="B31" s="3"/>
      <c r="C31" s="2"/>
      <c r="D31" s="2"/>
      <c r="F31" s="4"/>
      <c r="G31" s="4"/>
      <c r="J31" s="10"/>
    </row>
    <row r="32" spans="2:10" x14ac:dyDescent="0.2">
      <c r="B32" s="3"/>
      <c r="C32" s="2"/>
      <c r="D32" s="2"/>
      <c r="F32" s="4"/>
      <c r="G32" s="4"/>
      <c r="J32" s="10"/>
    </row>
    <row r="33" spans="2:10" x14ac:dyDescent="0.2">
      <c r="B33" s="3"/>
      <c r="C33" s="2"/>
      <c r="D33" s="2"/>
      <c r="F33" s="4"/>
      <c r="G33" s="4"/>
      <c r="J33" s="10"/>
    </row>
    <row r="34" spans="2:10" x14ac:dyDescent="0.2">
      <c r="B34" s="3"/>
      <c r="C34" s="2"/>
      <c r="D34" s="2"/>
      <c r="F34" s="4"/>
      <c r="G34" s="4"/>
      <c r="J34" s="10"/>
    </row>
    <row r="35" spans="2:10" x14ac:dyDescent="0.2">
      <c r="B35" s="3"/>
      <c r="C35" s="2"/>
      <c r="D35" s="2"/>
      <c r="F35" s="4"/>
      <c r="G35" s="4"/>
      <c r="J35" s="10"/>
    </row>
    <row r="36" spans="2:10" x14ac:dyDescent="0.2">
      <c r="B36" s="3"/>
      <c r="C36" s="2"/>
      <c r="D36" s="2"/>
      <c r="F36" s="4"/>
      <c r="G36" s="4"/>
      <c r="J36" s="10"/>
    </row>
    <row r="37" spans="2:10" x14ac:dyDescent="0.2">
      <c r="B37" s="3"/>
      <c r="C37" s="2"/>
      <c r="D37" s="2"/>
      <c r="F37" s="4"/>
      <c r="G37" s="4"/>
      <c r="J37" s="10"/>
    </row>
    <row r="38" spans="2:10" x14ac:dyDescent="0.2">
      <c r="B38" s="3"/>
      <c r="C38" s="2"/>
      <c r="D38" s="2"/>
      <c r="F38" s="4"/>
      <c r="G38" s="4"/>
      <c r="J38" s="10"/>
    </row>
    <row r="39" spans="2:10" x14ac:dyDescent="0.2">
      <c r="B39" s="3"/>
      <c r="C39" s="2"/>
      <c r="D39" s="2"/>
      <c r="F39" s="4"/>
      <c r="G39" s="4"/>
      <c r="J39" s="10"/>
    </row>
    <row r="40" spans="2:10" x14ac:dyDescent="0.2">
      <c r="B40" s="3"/>
      <c r="C40" s="2"/>
      <c r="D40" s="2"/>
      <c r="F40" s="4"/>
      <c r="G40" s="4"/>
      <c r="J40" s="10"/>
    </row>
    <row r="41" spans="2:10" x14ac:dyDescent="0.2">
      <c r="B41" s="3"/>
      <c r="C41" s="2"/>
      <c r="D41" s="2"/>
      <c r="F41" s="4"/>
      <c r="G41" s="4"/>
      <c r="J41" s="10"/>
    </row>
    <row r="42" spans="2:10" x14ac:dyDescent="0.2">
      <c r="B42" s="3"/>
      <c r="C42" s="2"/>
      <c r="D42" s="2"/>
      <c r="F42" s="4"/>
      <c r="G42" s="4"/>
      <c r="J42" s="10"/>
    </row>
    <row r="43" spans="2:10" x14ac:dyDescent="0.2">
      <c r="B43" s="3"/>
      <c r="C43" s="2"/>
      <c r="D43" s="2"/>
      <c r="F43" s="4"/>
      <c r="G43" s="4"/>
      <c r="J43" s="10"/>
    </row>
    <row r="44" spans="2:10" x14ac:dyDescent="0.2">
      <c r="B44" s="3"/>
      <c r="C44" s="2"/>
      <c r="D44" s="2"/>
      <c r="F44" s="4"/>
      <c r="G44" s="4"/>
      <c r="J44" s="10"/>
    </row>
    <row r="45" spans="2:10" x14ac:dyDescent="0.2">
      <c r="B45" s="3"/>
      <c r="C45" s="2"/>
      <c r="D45" s="2"/>
      <c r="F45" s="4"/>
      <c r="G45" s="4"/>
      <c r="J45" s="10"/>
    </row>
    <row r="46" spans="2:10" x14ac:dyDescent="0.2">
      <c r="B46" s="9"/>
      <c r="C46" s="2"/>
      <c r="D46" s="2"/>
      <c r="F46" s="4"/>
      <c r="G46" s="4"/>
      <c r="J46" s="10"/>
    </row>
    <row r="47" spans="2:10" x14ac:dyDescent="0.2">
      <c r="B47" s="3"/>
      <c r="C47" s="2"/>
      <c r="D47" s="2"/>
      <c r="F47" s="4"/>
      <c r="G47" s="4"/>
      <c r="J4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ID</vt:lpstr>
      <vt:lpstr>MT</vt:lpstr>
      <vt:lpstr>WY</vt:lpstr>
      <vt:lpstr>WA_NRM</vt:lpstr>
      <vt:lpstr>OR_NRM</vt:lpstr>
      <vt:lpstr>WA_W</vt:lpstr>
      <vt:lpstr>OR_W</vt:lpstr>
      <vt:lpstr>WI</vt:lpstr>
      <vt:lpstr>MI</vt:lpstr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Ramirez Loza</dc:creator>
  <cp:lastModifiedBy>Juan Pablo Ramirez Loza</cp:lastModifiedBy>
  <dcterms:created xsi:type="dcterms:W3CDTF">2024-02-20T10:23:20Z</dcterms:created>
  <dcterms:modified xsi:type="dcterms:W3CDTF">2025-05-26T14:53:45Z</dcterms:modified>
</cp:coreProperties>
</file>